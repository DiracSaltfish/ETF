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afc8053c741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OP Holdings" sheetId="1" r:id="R11d44bd89fd0420f"/>
    <x:sheet xmlns:r="http://schemas.openxmlformats.org/officeDocument/2006/relationships" name="Basket Calculator" sheetId="2" r:id="R6771af692d6d44d4"/>
    <x:sheet xmlns:r="http://schemas.openxmlformats.org/officeDocument/2006/relationships" name="Notes" sheetId="3" r:id="R8ef6a51feab740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.00"/>
    <x:numFmt numFmtId="202" formatCode="$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ccf5f0df7431b" /><Relationship Type="http://schemas.openxmlformats.org/officeDocument/2006/relationships/theme" Target="/xl/theme/theme1.xml" Id="R31d517aca0bb42da" /><Relationship Type="http://schemas.openxmlformats.org/officeDocument/2006/relationships/sharedStrings" Target="/xl/sharedStrings.xml" Id="R17aa7152729e490d" /><Relationship Type="http://schemas.openxmlformats.org/officeDocument/2006/relationships/worksheet" Target="/xl/worksheets/sheet1.xml" Id="R11d44bd89fd0420f" /><Relationship Type="http://schemas.openxmlformats.org/officeDocument/2006/relationships/worksheet" Target="/xl/worksheets/sheet2.xml" Id="R6771af692d6d44d4" /><Relationship Type="http://schemas.openxmlformats.org/officeDocument/2006/relationships/worksheet" Target="/xl/worksheets/sheet3.xml" Id="R8ef6a51feab74044" /></Relationships>
</file>

<file path=xl/tables/table1.xml><?xml version="1.0" encoding="utf-8"?>
<x:table xmlns:x="http://schemas.openxmlformats.org/spreadsheetml/2006/main" id="1" name="XOPHoldingsTable" displayName="XOPHoldingsTable" ref="A1:L55" headerRowCount="1">
  <x:tableColumns count="12">
    <x:tableColumn id="1" name="Rank"/>
    <x:tableColumn id="2" name="Name"/>
    <x:tableColumn id="3" name="Ticker"/>
    <x:tableColumn id="4" name="Identifier/CUSIP"/>
    <x:tableColumn id="5" name="SEDOL"/>
    <x:tableColumn id="6" name="Official Weight %"/>
    <x:tableColumn id="7" name="Official Weight Dec"/>
    <x:tableColumn id="8" name="Equity Only"/>
    <x:tableColumn id="9" name="Equity Weight Re-normalized %"/>
    <x:tableColumn id="10" name="Shares Held"/>
    <x:tableColumn id="11" name="Local Currency"/>
    <x:tableColumn id="12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BasketCalcTable" displayName="BasketCalcTable" ref="A6:H57" headerRowCount="1">
  <x:tableColumns count="8">
    <x:tableColumn id="1" name="Rank"/>
    <x:tableColumn id="2" name="Name"/>
    <x:tableColumn id="3" name="Ticker"/>
    <x:tableColumn id="4" name="Official Weight %"/>
    <x:tableColumn id="5" name="Re-normalized Equity Weight %"/>
    <x:tableColumn id="6" name="Target Short USD"/>
    <x:tableColumn id="7" name="Input Stock Price"/>
    <x:tableColumn id="8" name="Target Short Shares"/>
  </x:tableColumns>
  <x:tableStyleInfo name="TableStyleMedium2" showRowStripes="1"/>
</x:table>
</file>

<file path=xl/tables/table3.xml><?xml version="1.0" encoding="utf-8"?>
<x:table xmlns:x="http://schemas.openxmlformats.org/spreadsheetml/2006/main" id="3" name="NotesTable" displayName="NotesTable" ref="A1:B10" headerRowCount="1">
  <x:tableColumns count="2">
    <x:tableColumn id="1" name="项目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7e94ba69c946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4fa687f35949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409687e58c45c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5" hidden="0" customWidth="1"/>
    <x:col min="11" max="11" width="12" hidden="0" customWidth="1"/>
    <x:col min="12" max="12" width="55" hidden="0" customWidth="1"/>
  </x:cols>
  <x:sheetData>
    <x:row r="1">
      <x:c r="A1" s="16" t="str">
        <x:v>Rank</x:v>
      </x:c>
      <x:c r="B1" s="16" t="str">
        <x:v>Name</x:v>
      </x:c>
      <x:c r="C1" s="16" t="str">
        <x:v>Ticker</x:v>
      </x:c>
      <x:c r="D1" s="16" t="str">
        <x:v>Identifier/CUSIP</x:v>
      </x:c>
      <x:c r="E1" s="16" t="str">
        <x:v>SEDOL</x:v>
      </x:c>
      <x:c r="F1" s="16" t="str">
        <x:v>Official Weight %</x:v>
      </x:c>
      <x:c r="G1" s="16" t="str">
        <x:v>Official Weight Dec</x:v>
      </x:c>
      <x:c r="H1" s="16" t="str">
        <x:v>Equity Only</x:v>
      </x:c>
      <x:c r="I1" s="16" t="str">
        <x:v>Equity Weight Re-normalized %</x:v>
      </x:c>
      <x:c r="J1" s="16" t="str">
        <x:v>Shares Held</x:v>
      </x:c>
      <x:c r="K1" s="16" t="str">
        <x:v>Local Currency</x:v>
      </x:c>
      <x:c r="L1" s="16" t="str">
        <x:v>Source URL</x:v>
      </x:c>
    </x:row>
    <x:row r="2">
      <x:c r="A2" s="17" t="n">
        <x:v>1</x:v>
      </x:c>
      <x:c r="B2" s="17" t="str">
        <x:v>TEXAS PACIFIC LAND CORP</x:v>
      </x:c>
      <x:c r="C2" s="17" t="str">
        <x:v>TPL</x:v>
      </x:c>
      <x:c r="D2" s="17" t="str">
        <x:v>88262P102</x:v>
      </x:c>
      <x:c r="E2" s="17" t="str">
        <x:v>BM99VY2</x:v>
      </x:c>
      <x:c r="F2" s="18" t="n">
        <x:v>3.253349</x:v>
      </x:c>
      <x:c r="G2" s="18" t="n">
        <x:v>0.03253349</x:v>
      </x:c>
      <x:c r="H2" s="17" t="str">
        <x:v>Y</x:v>
      </x:c>
      <x:c r="I2" s="18" t="n">
        <x:v>3.174918356847134</x:v>
      </x:c>
      <x:c r="J2" s="19" t="n">
        <x:v>216660</x:v>
      </x:c>
      <x:c r="K2" s="17" t="str">
        <x:v>USD</x:v>
      </x:c>
      <x:c r="L2" s="17" t="str">
        <x:v>https://www.ssga.com/library-content/products/fund-data/etfs/us/holdings-daily-us-en-xop.xlsx</x:v>
      </x:c>
    </x:row>
    <x:row r="3">
      <x:c r="A3" s="17" t="n">
        <x:v>2</x:v>
      </x:c>
      <x:c r="B3" s="17" t="str">
        <x:v>PBF ENERGY INC CLASS A</x:v>
      </x:c>
      <x:c r="C3" s="17" t="str">
        <x:v>PBF</x:v>
      </x:c>
      <x:c r="D3" s="17" t="str">
        <x:v>69318G106</x:v>
      </x:c>
      <x:c r="E3" s="17" t="str">
        <x:v>B7F4TJ7</x:v>
      </x:c>
      <x:c r="F3" s="18" t="n">
        <x:v>2.982361</x:v>
      </x:c>
      <x:c r="G3" s="18" t="n">
        <x:v>0.02982361</x:v>
      </x:c>
      <x:c r="H3" s="17" t="str">
        <x:v>Y</x:v>
      </x:c>
      <x:c r="I3" s="18" t="n">
        <x:v>2.9104632443813974</x:v>
      </x:c>
      <x:c r="J3" s="19" t="n">
        <x:v>1909515</x:v>
      </x:c>
      <x:c r="K3" s="17" t="str">
        <x:v>USD</x:v>
      </x:c>
      <x:c r="L3" s="17" t="str">
        <x:v>https://www.ssga.com/library-content/products/fund-data/etfs/us/holdings-daily-us-en-xop.xlsx</x:v>
      </x:c>
    </x:row>
    <x:row r="4">
      <x:c r="A4" s="17" t="n">
        <x:v>3</x:v>
      </x:c>
      <x:c r="B4" s="17" t="str">
        <x:v>DELEK US HOLDINGS INC</x:v>
      </x:c>
      <x:c r="C4" s="17" t="str">
        <x:v>DK</x:v>
      </x:c>
      <x:c r="D4" s="17" t="str">
        <x:v>24665A103</x:v>
      </x:c>
      <x:c r="E4" s="17" t="str">
        <x:v>BF5P189</x:v>
      </x:c>
      <x:c r="F4" s="18" t="n">
        <x:v>2.875953</x:v>
      </x:c>
      <x:c r="G4" s="18" t="n">
        <x:v>0.02875953</x:v>
      </x:c>
      <x:c r="H4" s="17" t="str">
        <x:v>Y</x:v>
      </x:c>
      <x:c r="I4" s="18" t="n">
        <x:v>2.8066204926460654</x:v>
      </x:c>
      <x:c r="J4" s="19" t="n">
        <x:v>1649672</x:v>
      </x:c>
      <x:c r="K4" s="17" t="str">
        <x:v>USD</x:v>
      </x:c>
      <x:c r="L4" s="17" t="str">
        <x:v>https://www.ssga.com/library-content/products/fund-data/etfs/us/holdings-daily-us-en-xop.xlsx</x:v>
      </x:c>
    </x:row>
    <x:row r="5">
      <x:c r="A5" s="17" t="n">
        <x:v>4</x:v>
      </x:c>
      <x:c r="B5" s="17" t="str">
        <x:v>EXPAND ENERGY CORP</x:v>
      </x:c>
      <x:c r="C5" s="17" t="str">
        <x:v>EXE</x:v>
      </x:c>
      <x:c r="D5" s="17" t="str">
        <x:v>165167735</x:v>
      </x:c>
      <x:c r="E5" s="17" t="str">
        <x:v>BMZ5LZ5</x:v>
      </x:c>
      <x:c r="F5" s="18" t="n">
        <x:v>2.871889</x:v>
      </x:c>
      <x:c r="G5" s="18" t="n">
        <x:v>0.02871889</x:v>
      </x:c>
      <x:c r="H5" s="17" t="str">
        <x:v>Y</x:v>
      </x:c>
      <x:c r="I5" s="18" t="n">
        <x:v>2.8026544661907957</x:v>
      </x:c>
      <x:c r="J5" s="19" t="n">
        <x:v>917879</x:v>
      </x:c>
      <x:c r="K5" s="17" t="str">
        <x:v>USD</x:v>
      </x:c>
      <x:c r="L5" s="17" t="str">
        <x:v>https://www.ssga.com/library-content/products/fund-data/etfs/us/holdings-daily-us-en-xop.xlsx</x:v>
      </x:c>
    </x:row>
    <x:row r="6">
      <x:c r="A6" s="17" t="n">
        <x:v>5</x:v>
      </x:c>
      <x:c r="B6" s="17" t="str">
        <x:v>CNX RESOURCES CORP</x:v>
      </x:c>
      <x:c r="C6" s="17" t="str">
        <x:v>CNX</x:v>
      </x:c>
      <x:c r="D6" s="17" t="str">
        <x:v>12653C108</x:v>
      </x:c>
      <x:c r="E6" s="17" t="str">
        <x:v>BF3FTF4</x:v>
      </x:c>
      <x:c r="F6" s="18" t="n">
        <x:v>2.85036</x:v>
      </x:c>
      <x:c r="G6" s="18" t="n">
        <x:v>0.028503599999999997</x:v>
      </x:c>
      <x:c r="H6" s="17" t="str">
        <x:v>Y</x:v>
      </x:c>
      <x:c r="I6" s="18" t="n">
        <x:v>2.7816444800796947</x:v>
      </x:c>
      <x:c r="J6" s="19" t="n">
        <x:v>2448392</x:v>
      </x:c>
      <x:c r="K6" s="17" t="str">
        <x:v>USD</x:v>
      </x:c>
      <x:c r="L6" s="17" t="str">
        <x:v>https://www.ssga.com/library-content/products/fund-data/etfs/us/holdings-daily-us-en-xop.xlsx</x:v>
      </x:c>
    </x:row>
    <x:row r="7">
      <x:c r="A7" s="17" t="n">
        <x:v>6</x:v>
      </x:c>
      <x:c r="B7" s="17" t="str">
        <x:v>EQT CORP</x:v>
      </x:c>
      <x:c r="C7" s="17" t="str">
        <x:v>EQT</x:v>
      </x:c>
      <x:c r="D7" s="17" t="str">
        <x:v>26884L109</x:v>
      </x:c>
      <x:c r="E7" s="17" t="str">
        <x:v>2319414</x:v>
      </x:c>
      <x:c r="F7" s="18" t="n">
        <x:v>2.818741</x:v>
      </x:c>
      <x:c r="G7" s="18" t="n">
        <x:v>0.028187410000000003</x:v>
      </x:c>
      <x:c r="H7" s="17" t="str">
        <x:v>Y</x:v>
      </x:c>
      <x:c r="I7" s="18" t="n">
        <x:v>2.7507877402939704</x:v>
      </x:c>
      <x:c r="J7" s="19" t="n">
        <x:v>1545089</x:v>
      </x:c>
      <x:c r="K7" s="17" t="str">
        <x:v>USD</x:v>
      </x:c>
      <x:c r="L7" s="17" t="str">
        <x:v>https://www.ssga.com/library-content/products/fund-data/etfs/us/holdings-daily-us-en-xop.xlsx</x:v>
      </x:c>
    </x:row>
    <x:row r="8">
      <x:c r="A8" s="17" t="n">
        <x:v>7</x:v>
      </x:c>
      <x:c r="B8" s="17" t="str">
        <x:v>VALERO ENERGY CORP</x:v>
      </x:c>
      <x:c r="C8" s="17" t="str">
        <x:v>VLO</x:v>
      </x:c>
      <x:c r="D8" s="17" t="str">
        <x:v>91913Y100</x:v>
      </x:c>
      <x:c r="E8" s="17" t="str">
        <x:v>2041364</x:v>
      </x:c>
      <x:c r="F8" s="18" t="n">
        <x:v>2.81548</x:v>
      </x:c>
      <x:c r="G8" s="18" t="n">
        <x:v>0.0281548</x:v>
      </x:c>
      <x:c r="H8" s="17" t="str">
        <x:v>Y</x:v>
      </x:c>
      <x:c r="I8" s="18" t="n">
        <x:v>2.7476053553848567</x:v>
      </x:c>
      <x:c r="J8" s="19" t="n">
        <x:v>315072</x:v>
      </x:c>
      <x:c r="K8" s="17" t="str">
        <x:v>USD</x:v>
      </x:c>
      <x:c r="L8" s="17" t="str">
        <x:v>https://www.ssga.com/library-content/products/fund-data/etfs/us/holdings-daily-us-en-xop.xlsx</x:v>
      </x:c>
    </x:row>
    <x:row r="9">
      <x:c r="A9" s="17" t="n">
        <x:v>8</x:v>
      </x:c>
      <x:c r="B9" s="17" t="str">
        <x:v>ANTERO RESOURCES CORP</x:v>
      </x:c>
      <x:c r="C9" s="17" t="str">
        <x:v>AR</x:v>
      </x:c>
      <x:c r="D9" s="17" t="str">
        <x:v>03674X106</x:v>
      </x:c>
      <x:c r="E9" s="17" t="str">
        <x:v>BFD2WR8</x:v>
      </x:c>
      <x:c r="F9" s="18" t="n">
        <x:v>2.749954</x:v>
      </x:c>
      <x:c r="G9" s="18" t="n">
        <x:v>0.02749954</x:v>
      </x:c>
      <x:c r="H9" s="17" t="str">
        <x:v>Y</x:v>
      </x:c>
      <x:c r="I9" s="18" t="n">
        <x:v>2.683659034147644</x:v>
      </x:c>
      <x:c r="J9" s="19" t="n">
        <x:v>2280808</x:v>
      </x:c>
      <x:c r="K9" s="17" t="str">
        <x:v>USD</x:v>
      </x:c>
      <x:c r="L9" s="17" t="str">
        <x:v>https://www.ssga.com/library-content/products/fund-data/etfs/us/holdings-daily-us-en-xop.xlsx</x:v>
      </x:c>
    </x:row>
    <x:row r="10">
      <x:c r="A10" s="17" t="n">
        <x:v>9</x:v>
      </x:c>
      <x:c r="B10" s="17" t="str">
        <x:v>HF SINCLAIR CORP</x:v>
      </x:c>
      <x:c r="C10" s="17" t="str">
        <x:v>DINO</x:v>
      </x:c>
      <x:c r="D10" s="17" t="str">
        <x:v>403949100</x:v>
      </x:c>
      <x:c r="E10" s="17" t="str">
        <x:v>BMZQ9C1</x:v>
      </x:c>
      <x:c r="F10" s="18" t="n">
        <x:v>2.745313</x:v>
      </x:c>
      <x:c r="G10" s="18" t="n">
        <x:v>0.02745313</x:v>
      </x:c>
      <x:c r="H10" s="17" t="str">
        <x:v>Y</x:v>
      </x:c>
      <x:c r="I10" s="18" t="n">
        <x:v>2.679129917814251</x:v>
      </x:c>
      <x:c r="J10" s="19" t="n">
        <x:v>1148777</x:v>
      </x:c>
      <x:c r="K10" s="17" t="str">
        <x:v>USD</x:v>
      </x:c>
      <x:c r="L10" s="17" t="str">
        <x:v>https://www.ssga.com/library-content/products/fund-data/etfs/us/holdings-daily-us-en-xop.xlsx</x:v>
      </x:c>
    </x:row>
    <x:row r="11">
      <x:c r="A11" s="17" t="n">
        <x:v>10</x:v>
      </x:c>
      <x:c r="B11" s="17" t="str">
        <x:v>PAR PACIFIC HOLDINGS INC</x:v>
      </x:c>
      <x:c r="C11" s="17" t="str">
        <x:v>PARR</x:v>
      </x:c>
      <x:c r="D11" s="17" t="str">
        <x:v>69888T207</x:v>
      </x:c>
      <x:c r="E11" s="17" t="str">
        <x:v>BJH08C3</x:v>
      </x:c>
      <x:c r="F11" s="18" t="n">
        <x:v>2.714085</x:v>
      </x:c>
      <x:c r="G11" s="18" t="n">
        <x:v>0.027140849999999998</x:v>
      </x:c>
      <x:c r="H11" s="17" t="str">
        <x:v>Y</x:v>
      </x:c>
      <x:c r="I11" s="18" t="n">
        <x:v>2.6486547519320713</x:v>
      </x:c>
      <x:c r="J11" s="19" t="n">
        <x:v>1410524</x:v>
      </x:c>
      <x:c r="K11" s="17" t="str">
        <x:v>USD</x:v>
      </x:c>
      <x:c r="L11" s="17" t="str">
        <x:v>https://www.ssga.com/library-content/products/fund-data/etfs/us/holdings-daily-us-en-xop.xlsx</x:v>
      </x:c>
    </x:row>
    <x:row r="12">
      <x:c r="A12" s="17" t="n">
        <x:v>11</x:v>
      </x:c>
      <x:c r="B12" s="17" t="str">
        <x:v>MARATHON PETROLEUM CORP</x:v>
      </x:c>
      <x:c r="C12" s="17" t="str">
        <x:v>MPC</x:v>
      </x:c>
      <x:c r="D12" s="17" t="str">
        <x:v>56585A102</x:v>
      </x:c>
      <x:c r="E12" s="17" t="str">
        <x:v>B3K3L40</x:v>
      </x:c>
      <x:c r="F12" s="18" t="n">
        <x:v>2.708078</x:v>
      </x:c>
      <x:c r="G12" s="18" t="n">
        <x:v>0.02708078</x:v>
      </x:c>
      <x:c r="H12" s="17" t="str">
        <x:v>Y</x:v>
      </x:c>
      <x:c r="I12" s="18" t="n">
        <x:v>2.6427925666671093</x:v>
      </x:c>
      <x:c r="J12" s="19" t="n">
        <x:v>308707</x:v>
      </x:c>
      <x:c r="K12" s="17" t="str">
        <x:v>USD</x:v>
      </x:c>
      <x:c r="L12" s="17" t="str">
        <x:v>https://www.ssga.com/library-content/products/fund-data/etfs/us/holdings-daily-us-en-xop.xlsx</x:v>
      </x:c>
    </x:row>
    <x:row r="13">
      <x:c r="A13" s="17" t="n">
        <x:v>12</x:v>
      </x:c>
      <x:c r="B13" s="17" t="str">
        <x:v>RANGE RESOURCES CORP</x:v>
      </x:c>
      <x:c r="C13" s="17" t="str">
        <x:v>RRC</x:v>
      </x:c>
      <x:c r="D13" s="17" t="str">
        <x:v>75281A109</x:v>
      </x:c>
      <x:c r="E13" s="17" t="str">
        <x:v>2523334</x:v>
      </x:c>
      <x:c r="F13" s="18" t="n">
        <x:v>2.650169</x:v>
      </x:c>
      <x:c r="G13" s="18" t="n">
        <x:v>0.02650169</x:v>
      </x:c>
      <x:c r="H13" s="17" t="str">
        <x:v>Y</x:v>
      </x:c>
      <x:c r="I13" s="18" t="n">
        <x:v>2.586279617356518</x:v>
      </x:c>
      <x:c r="J13" s="19" t="n">
        <x:v>2076885</x:v>
      </x:c>
      <x:c r="K13" s="17" t="str">
        <x:v>USD</x:v>
      </x:c>
      <x:c r="L13" s="17" t="str">
        <x:v>https://www.ssga.com/library-content/products/fund-data/etfs/us/holdings-daily-us-en-xop.xlsx</x:v>
      </x:c>
    </x:row>
    <x:row r="14">
      <x:c r="A14" s="17" t="n">
        <x:v>13</x:v>
      </x:c>
      <x:c r="B14" s="17" t="str">
        <x:v>VIPER ENERGY INC CL A</x:v>
      </x:c>
      <x:c r="C14" s="17" t="str">
        <x:v>VNOM</x:v>
      </x:c>
      <x:c r="D14" s="17" t="str">
        <x:v>64361Q101</x:v>
      </x:c>
      <x:c r="E14" s="17" t="str">
        <x:v>BW0WZZ9</x:v>
      </x:c>
      <x:c r="F14" s="18" t="n">
        <x:v>2.640872</x:v>
      </x:c>
      <x:c r="G14" s="18" t="n">
        <x:v>0.02640872</x:v>
      </x:c>
      <x:c r="H14" s="17" t="str">
        <x:v>Y</x:v>
      </x:c>
      <x:c r="I14" s="18" t="n">
        <x:v>2.577206746304686</x:v>
      </x:c>
      <x:c r="J14" s="19" t="n">
        <x:v>1815292</x:v>
      </x:c>
      <x:c r="K14" s="17" t="str">
        <x:v>USD</x:v>
      </x:c>
      <x:c r="L14" s="17" t="str">
        <x:v>https://www.ssga.com/library-content/products/fund-data/etfs/us/holdings-daily-us-en-xop.xlsx</x:v>
      </x:c>
    </x:row>
    <x:row r="15">
      <x:c r="A15" s="17" t="n">
        <x:v>14</x:v>
      </x:c>
      <x:c r="B15" s="17" t="str">
        <x:v>PERMIAN RESOURCES CORP CL A</x:v>
      </x:c>
      <x:c r="C15" s="17" t="str">
        <x:v>PR</x:v>
      </x:c>
      <x:c r="D15" s="17" t="str">
        <x:v>71424F105</x:v>
      </x:c>
      <x:c r="E15" s="17" t="str">
        <x:v>BQPCHB2</x:v>
      </x:c>
      <x:c r="F15" s="18" t="n">
        <x:v>2.602439</x:v>
      </x:c>
      <x:c r="G15" s="18" t="n">
        <x:v>0.026024389999999998</x:v>
      </x:c>
      <x:c r="H15" s="17" t="str">
        <x:v>Y</x:v>
      </x:c>
      <x:c r="I15" s="18" t="n">
        <x:v>2.5397002761384955</x:v>
      </x:c>
      <x:c r="J15" s="19" t="n">
        <x:v>4119949</x:v>
      </x:c>
      <x:c r="K15" s="17" t="str">
        <x:v>USD</x:v>
      </x:c>
      <x:c r="L15" s="17" t="str">
        <x:v>https://www.ssga.com/library-content/products/fund-data/etfs/us/holdings-daily-us-en-xop.xlsx</x:v>
      </x:c>
    </x:row>
    <x:row r="16">
      <x:c r="A16" s="17" t="n">
        <x:v>15</x:v>
      </x:c>
      <x:c r="B16" s="17" t="str">
        <x:v>PHILLIPS 66</x:v>
      </x:c>
      <x:c r="C16" s="17" t="str">
        <x:v>PSX</x:v>
      </x:c>
      <x:c r="D16" s="17" t="str">
        <x:v>718546104</x:v>
      </x:c>
      <x:c r="E16" s="17" t="str">
        <x:v>B78C4Y8</x:v>
      </x:c>
      <x:c r="F16" s="18" t="n">
        <x:v>2.594762</x:v>
      </x:c>
      <x:c r="G16" s="18" t="n">
        <x:v>0.025947619999999998</x:v>
      </x:c>
      <x:c r="H16" s="17" t="str">
        <x:v>Y</x:v>
      </x:c>
      <x:c r="I16" s="18" t="n">
        <x:v>2.532208350671687</x:v>
      </x:c>
      <x:c r="J16" s="19" t="n">
        <x:v>447350</x:v>
      </x:c>
      <x:c r="K16" s="17" t="str">
        <x:v>USD</x:v>
      </x:c>
      <x:c r="L16" s="17" t="str">
        <x:v>https://www.ssga.com/library-content/products/fund-data/etfs/us/holdings-daily-us-en-xop.xlsx</x:v>
      </x:c>
    </x:row>
    <x:row r="17">
      <x:c r="A17" s="17" t="n">
        <x:v>16</x:v>
      </x:c>
      <x:c r="B17" s="17" t="str">
        <x:v>EOG RESOURCES INC</x:v>
      </x:c>
      <x:c r="C17" s="17" t="str">
        <x:v>EOG</x:v>
      </x:c>
      <x:c r="D17" s="17" t="str">
        <x:v>26875P101</x:v>
      </x:c>
      <x:c r="E17" s="17" t="str">
        <x:v>2318024</x:v>
      </x:c>
      <x:c r="F17" s="18" t="n">
        <x:v>2.579402</x:v>
      </x:c>
      <x:c r="G17" s="18" t="n">
        <x:v>0.02579402</x:v>
      </x:c>
      <x:c r="H17" s="17" t="str">
        <x:v>Y</x:v>
      </x:c>
      <x:c r="I17" s="18" t="n">
        <x:v>2.517218644384052</x:v>
      </x:c>
      <x:c r="J17" s="19" t="n">
        <x:v>579487</x:v>
      </x:c>
      <x:c r="K17" s="17" t="str">
        <x:v>USD</x:v>
      </x:c>
      <x:c r="L17" s="17" t="str">
        <x:v>https://www.ssga.com/library-content/products/fund-data/etfs/us/holdings-daily-us-en-xop.xlsx</x:v>
      </x:c>
    </x:row>
    <x:row r="18">
      <x:c r="A18" s="17" t="n">
        <x:v>17</x:v>
      </x:c>
      <x:c r="B18" s="17" t="str">
        <x:v>MAGNOLIA OIL + GAS CORP   A</x:v>
      </x:c>
      <x:c r="C18" s="17" t="str">
        <x:v>MGY</x:v>
      </x:c>
      <x:c r="D18" s="17" t="str">
        <x:v>559663109</x:v>
      </x:c>
      <x:c r="E18" s="17" t="str">
        <x:v>BF2GC59</x:v>
      </x:c>
      <x:c r="F18" s="18" t="n">
        <x:v>2.565454</x:v>
      </x:c>
      <x:c r="G18" s="18" t="n">
        <x:v>0.02565454</x:v>
      </x:c>
      <x:c r="H18" s="17" t="str">
        <x:v>Y</x:v>
      </x:c>
      <x:c r="I18" s="18" t="n">
        <x:v>2.503606898075462</x:v>
      </x:c>
      <x:c r="J18" s="19" t="n">
        <x:v>2922999</x:v>
      </x:c>
      <x:c r="K18" s="17" t="str">
        <x:v>USD</x:v>
      </x:c>
      <x:c r="L18" s="17" t="str">
        <x:v>https://www.ssga.com/library-content/products/fund-data/etfs/us/holdings-daily-us-en-xop.xlsx</x:v>
      </x:c>
    </x:row>
    <x:row r="19">
      <x:c r="A19" s="17" t="n">
        <x:v>18</x:v>
      </x:c>
      <x:c r="B19" s="17" t="str">
        <x:v>OVINTIV INC</x:v>
      </x:c>
      <x:c r="C19" s="17" t="str">
        <x:v>OVV</x:v>
      </x:c>
      <x:c r="D19" s="17" t="str">
        <x:v>69047Q102</x:v>
      </x:c>
      <x:c r="E19" s="17" t="str">
        <x:v>BJ01KB6</x:v>
      </x:c>
      <x:c r="F19" s="18" t="n">
        <x:v>2.534386</x:v>
      </x:c>
      <x:c r="G19" s="18" t="n">
        <x:v>0.02534386</x:v>
      </x:c>
      <x:c r="H19" s="17" t="str">
        <x:v>Y</x:v>
      </x:c>
      <x:c r="I19" s="18" t="n">
        <x:v>2.4732878749671126</x:v>
      </x:c>
      <x:c r="J19" s="19" t="n">
        <x:v>1402941</x:v>
      </x:c>
      <x:c r="K19" s="17" t="str">
        <x:v>USD</x:v>
      </x:c>
      <x:c r="L19" s="17" t="str">
        <x:v>https://www.ssga.com/library-content/products/fund-data/etfs/us/holdings-daily-us-en-xop.xlsx</x:v>
      </x:c>
    </x:row>
    <x:row r="20">
      <x:c r="A20" s="17" t="n">
        <x:v>19</x:v>
      </x:c>
      <x:c r="B20" s="17" t="str">
        <x:v>EXXON MOBIL CORP</x:v>
      </x:c>
      <x:c r="C20" s="17" t="str">
        <x:v>XOM</x:v>
      </x:c>
      <x:c r="D20" s="17" t="str">
        <x:v>30231G102</x:v>
      </x:c>
      <x:c r="E20" s="17" t="str">
        <x:v>2326618</x:v>
      </x:c>
      <x:c r="F20" s="18" t="n">
        <x:v>2.531657</x:v>
      </x:c>
      <x:c r="G20" s="18" t="n">
        <x:v>0.02531657</x:v>
      </x:c>
      <x:c r="H20" s="17" t="str">
        <x:v>Y</x:v>
      </x:c>
      <x:c r="I20" s="18" t="n">
        <x:v>2.4706246647809826</x:v>
      </x:c>
      <x:c r="J20" s="19" t="n">
        <x:v>539682</x:v>
      </x:c>
      <x:c r="K20" s="17" t="str">
        <x:v>USD</x:v>
      </x:c>
      <x:c r="L20" s="17" t="str">
        <x:v>https://www.ssga.com/library-content/products/fund-data/etfs/us/holdings-daily-us-en-xop.xlsx</x:v>
      </x:c>
    </x:row>
    <x:row r="21">
      <x:c r="A21" s="17" t="n">
        <x:v>20</x:v>
      </x:c>
      <x:c r="B21" s="17" t="str">
        <x:v>MATADOR RESOURCES CO</x:v>
      </x:c>
      <x:c r="C21" s="17" t="str">
        <x:v>MTDR</x:v>
      </x:c>
      <x:c r="D21" s="17" t="str">
        <x:v>576485205</x:v>
      </x:c>
      <x:c r="E21" s="17" t="str">
        <x:v>B7MSLL8</x:v>
      </x:c>
      <x:c r="F21" s="18" t="n">
        <x:v>2.528531</x:v>
      </x:c>
      <x:c r="G21" s="18" t="n">
        <x:v>0.025285310000000002</x:v>
      </x:c>
      <x:c r="H21" s="17" t="str">
        <x:v>Y</x:v>
      </x:c>
      <x:c r="I21" s="18" t="n">
        <x:v>2.4675740253372878</x:v>
      </x:c>
      <x:c r="J21" s="19" t="n">
        <x:v>1480398</x:v>
      </x:c>
      <x:c r="K21" s="17" t="str">
        <x:v>USD</x:v>
      </x:c>
      <x:c r="L21" s="17" t="str">
        <x:v>https://www.ssga.com/library-content/products/fund-data/etfs/us/holdings-daily-us-en-xop.xlsx</x:v>
      </x:c>
    </x:row>
    <x:row r="22">
      <x:c r="A22" s="17" t="n">
        <x:v>21</x:v>
      </x:c>
      <x:c r="B22" s="17" t="str">
        <x:v>CALIFORNIA RESOURCES CORP</x:v>
      </x:c>
      <x:c r="C22" s="17" t="str">
        <x:v>CRC</x:v>
      </x:c>
      <x:c r="D22" s="17" t="str">
        <x:v>13057Q305</x:v>
      </x:c>
      <x:c r="E22" s="17" t="str">
        <x:v>BMBK002</x:v>
      </x:c>
      <x:c r="F22" s="18" t="n">
        <x:v>2.504828</x:v>
      </x:c>
      <x:c r="G22" s="18" t="n">
        <x:v>0.02504828</x:v>
      </x:c>
      <x:c r="H22" s="17" t="str">
        <x:v>Y</x:v>
      </x:c>
      <x:c r="I22" s="18" t="n">
        <x:v>2.444442449286779</x:v>
      </x:c>
      <x:c r="J22" s="19" t="n">
        <x:v>1380809</x:v>
      </x:c>
      <x:c r="K22" s="17" t="str">
        <x:v>USD</x:v>
      </x:c>
      <x:c r="L22" s="17" t="str">
        <x:v>https://www.ssga.com/library-content/products/fund-data/etfs/us/holdings-daily-us-en-xop.xlsx</x:v>
      </x:c>
    </x:row>
    <x:row r="23">
      <x:c r="A23" s="17" t="n">
        <x:v>22</x:v>
      </x:c>
      <x:c r="B23" s="17" t="str">
        <x:v>DIAMONDBACK ENERGY INC</x:v>
      </x:c>
      <x:c r="C23" s="17" t="str">
        <x:v>FANG</x:v>
      </x:c>
      <x:c r="D23" s="17" t="str">
        <x:v>25278X109</x:v>
      </x:c>
      <x:c r="E23" s="17" t="str">
        <x:v>B7Y8YR3</x:v>
      </x:c>
      <x:c r="F23" s="18" t="n">
        <x:v>2.494364</x:v>
      </x:c>
      <x:c r="G23" s="18" t="n">
        <x:v>0.02494364</x:v>
      </x:c>
      <x:c r="H23" s="17" t="str">
        <x:v>Y</x:v>
      </x:c>
      <x:c r="I23" s="18" t="n">
        <x:v>2.4342307118783273</x:v>
      </x:c>
      <x:c r="J23" s="19" t="n">
        <x:v>413576</x:v>
      </x:c>
      <x:c r="K23" s="17" t="str">
        <x:v>USD</x:v>
      </x:c>
      <x:c r="L23" s="17" t="str">
        <x:v>https://www.ssga.com/library-content/products/fund-data/etfs/us/holdings-daily-us-en-xop.xlsx</x:v>
      </x:c>
    </x:row>
    <x:row r="24">
      <x:c r="A24" s="17" t="n">
        <x:v>23</x:v>
      </x:c>
      <x:c r="B24" s="17" t="str">
        <x:v>GULFPORT ENERGY CORP</x:v>
      </x:c>
      <x:c r="C24" s="17" t="str">
        <x:v>GPOR</x:v>
      </x:c>
      <x:c r="D24" s="17" t="str">
        <x:v>402635502</x:v>
      </x:c>
      <x:c r="E24" s="17" t="str">
        <x:v>BND7X43</x:v>
      </x:c>
      <x:c r="F24" s="18" t="n">
        <x:v>2.49241</x:v>
      </x:c>
      <x:c r="G24" s="18" t="n">
        <x:v>0.0249241</x:v>
      </x:c>
      <x:c r="H24" s="17" t="str">
        <x:v>Y</x:v>
      </x:c>
      <x:c r="I24" s="18" t="n">
        <x:v>2.432323818252934</x:v>
      </x:c>
      <x:c r="J24" s="19" t="n">
        <x:v>428058</x:v>
      </x:c>
      <x:c r="K24" s="17" t="str">
        <x:v>USD</x:v>
      </x:c>
      <x:c r="L24" s="17" t="str">
        <x:v>https://www.ssga.com/library-content/products/fund-data/etfs/us/holdings-daily-us-en-xop.xlsx</x:v>
      </x:c>
    </x:row>
    <x:row r="25">
      <x:c r="A25" s="17" t="n">
        <x:v>24</x:v>
      </x:c>
      <x:c r="B25" s="17" t="str">
        <x:v>DEVON ENERGY CORP</x:v>
      </x:c>
      <x:c r="C25" s="17" t="str">
        <x:v>DVN</x:v>
      </x:c>
      <x:c r="D25" s="17" t="str">
        <x:v>25179M103</x:v>
      </x:c>
      <x:c r="E25" s="17" t="str">
        <x:v>2480677</x:v>
      </x:c>
      <x:c r="F25" s="18" t="n">
        <x:v>2.473047</x:v>
      </x:c>
      <x:c r="G25" s="18" t="n">
        <x:v>0.02473047</x:v>
      </x:c>
      <x:c r="H25" s="17" t="str">
        <x:v>Y</x:v>
      </x:c>
      <x:c r="I25" s="18" t="n">
        <x:v>2.4134276149425515</x:v>
      </x:c>
      <x:c r="J25" s="19" t="n">
        <x:v>1744364</x:v>
      </x:c>
      <x:c r="K25" s="17" t="str">
        <x:v>USD</x:v>
      </x:c>
      <x:c r="L25" s="17" t="str">
        <x:v>https://www.ssga.com/library-content/products/fund-data/etfs/us/holdings-daily-us-en-xop.xlsx</x:v>
      </x:c>
    </x:row>
    <x:row r="26">
      <x:c r="A26" s="17" t="n">
        <x:v>25</x:v>
      </x:c>
      <x:c r="B26" s="17" t="str">
        <x:v>CHEVRON CORP</x:v>
      </x:c>
      <x:c r="C26" s="17" t="str">
        <x:v>CVX</x:v>
      </x:c>
      <x:c r="D26" s="17" t="str">
        <x:v>166764100</x:v>
      </x:c>
      <x:c r="E26" s="17" t="str">
        <x:v>2838555</x:v>
      </x:c>
      <x:c r="F26" s="18" t="n">
        <x:v>2.435594</x:v>
      </x:c>
      <x:c r="G26" s="18" t="n">
        <x:v>0.02435594</x:v>
      </x:c>
      <x:c r="H26" s="17" t="str">
        <x:v>Y</x:v>
      </x:c>
      <x:c r="I26" s="18" t="n">
        <x:v>2.3768775192660665</x:v>
      </x:c>
      <x:c r="J26" s="19" t="n">
        <x:v>428243</x:v>
      </x:c>
      <x:c r="K26" s="17" t="str">
        <x:v>USD</x:v>
      </x:c>
      <x:c r="L26" s="17" t="str">
        <x:v>https://www.ssga.com/library-content/products/fund-data/etfs/us/holdings-daily-us-en-xop.xlsx</x:v>
      </x:c>
    </x:row>
    <x:row r="27">
      <x:c r="A27" s="17" t="n">
        <x:v>26</x:v>
      </x:c>
      <x:c r="B27" s="17" t="str">
        <x:v>CONOCOPHILLIPS</x:v>
      </x:c>
      <x:c r="C27" s="17" t="str">
        <x:v>COP</x:v>
      </x:c>
      <x:c r="D27" s="17" t="str">
        <x:v>20825C104</x:v>
      </x:c>
      <x:c r="E27" s="17" t="str">
        <x:v>2685717</x:v>
      </x:c>
      <x:c r="F27" s="18" t="n">
        <x:v>2.41782</x:v>
      </x:c>
      <x:c r="G27" s="18" t="n">
        <x:v>0.024178199999999997</x:v>
      </x:c>
      <x:c r="H27" s="17" t="str">
        <x:v>Y</x:v>
      </x:c>
      <x:c r="I27" s="18" t="n">
        <x:v>2.359532008878278</x:v>
      </x:c>
      <x:c r="J27" s="19" t="n">
        <x:v>677833</x:v>
      </x:c>
      <x:c r="K27" s="17" t="str">
        <x:v>USD</x:v>
      </x:c>
      <x:c r="L27" s="17" t="str">
        <x:v>https://www.ssga.com/library-content/products/fund-data/etfs/us/holdings-daily-us-en-xop.xlsx</x:v>
      </x:c>
    </x:row>
    <x:row r="28">
      <x:c r="A28" s="17" t="n">
        <x:v>27</x:v>
      </x:c>
      <x:c r="B28" s="17" t="str">
        <x:v>APA CORP</x:v>
      </x:c>
      <x:c r="C28" s="17" t="str">
        <x:v>APA</x:v>
      </x:c>
      <x:c r="D28" s="17" t="str">
        <x:v>03743Q108</x:v>
      </x:c>
      <x:c r="E28" s="17" t="str">
        <x:v>BNNF1C1</x:v>
      </x:c>
      <x:c r="F28" s="18" t="n">
        <x:v>2.390492</x:v>
      </x:c>
      <x:c r="G28" s="18" t="n">
        <x:v>0.02390492</x:v>
      </x:c>
      <x:c r="H28" s="17" t="str">
        <x:v>Y</x:v>
      </x:c>
      <x:c r="I28" s="18" t="n">
        <x:v>2.3328628231081936</x:v>
      </x:c>
      <x:c r="J28" s="19" t="n">
        <x:v>2139117</x:v>
      </x:c>
      <x:c r="K28" s="17" t="str">
        <x:v>USD</x:v>
      </x:c>
      <x:c r="L28" s="17" t="str">
        <x:v>https://www.ssga.com/library-content/products/fund-data/etfs/us/holdings-daily-us-en-xop.xlsx</x:v>
      </x:c>
    </x:row>
    <x:row r="29">
      <x:c r="A29" s="17" t="n">
        <x:v>28</x:v>
      </x:c>
      <x:c r="B29" s="17" t="str">
        <x:v>OCCIDENTAL PETROLEUM CORP</x:v>
      </x:c>
      <x:c r="C29" s="17" t="str">
        <x:v>OXY</x:v>
      </x:c>
      <x:c r="D29" s="17" t="str">
        <x:v>674599105</x:v>
      </x:c>
      <x:c r="E29" s="17" t="str">
        <x:v>2655408</x:v>
      </x:c>
      <x:c r="F29" s="18" t="n">
        <x:v>2.372447</x:v>
      </x:c>
      <x:c r="G29" s="18" t="n">
        <x:v>0.02372447</x:v>
      </x:c>
      <x:c r="H29" s="17" t="str">
        <x:v>Y</x:v>
      </x:c>
      <x:c r="I29" s="18" t="n">
        <x:v>2.315252845897232</x:v>
      </x:c>
      <x:c r="J29" s="19" t="n">
        <x:v>1423618</x:v>
      </x:c>
      <x:c r="K29" s="17" t="str">
        <x:v>USD</x:v>
      </x:c>
      <x:c r="L29" s="17" t="str">
        <x:v>https://www.ssga.com/library-content/products/fund-data/etfs/us/holdings-daily-us-en-xop.xlsx</x:v>
      </x:c>
    </x:row>
    <x:row r="30">
      <x:c r="A30" s="17" t="n">
        <x:v>29</x:v>
      </x:c>
      <x:c r="B30" s="17" t="str">
        <x:v>CRESCENT ENERGY INC A</x:v>
      </x:c>
      <x:c r="C30" s="17" t="str">
        <x:v>CRGY</x:v>
      </x:c>
      <x:c r="D30" s="17" t="str">
        <x:v>44952J104</x:v>
      </x:c>
      <x:c r="E30" s="17" t="str">
        <x:v>BNR4QY1</x:v>
      </x:c>
      <x:c r="F30" s="18" t="n">
        <x:v>2.338906</x:v>
      </x:c>
      <x:c r="G30" s="18" t="n">
        <x:v>0.023389060000000003</x:v>
      </x:c>
      <x:c r="H30" s="17" t="str">
        <x:v>Y</x:v>
      </x:c>
      <x:c r="I30" s="18" t="n">
        <x:v>2.2825204410408793</x:v>
      </x:c>
      <x:c r="J30" s="19" t="n">
        <x:v>6941709</x:v>
      </x:c>
      <x:c r="K30" s="17" t="str">
        <x:v>USD</x:v>
      </x:c>
      <x:c r="L30" s="17" t="str">
        <x:v>https://www.ssga.com/library-content/products/fund-data/etfs/us/holdings-daily-us-en-xop.xlsx</x:v>
      </x:c>
    </x:row>
    <x:row r="31">
      <x:c r="A31" s="17" t="n">
        <x:v>30</x:v>
      </x:c>
      <x:c r="B31" s="17" t="str">
        <x:v>VENTURE GLOBAL INC CL A</x:v>
      </x:c>
      <x:c r="C31" s="17" t="str">
        <x:v>VG</x:v>
      </x:c>
      <x:c r="D31" s="17" t="str">
        <x:v>92333F101</x:v>
      </x:c>
      <x:c r="E31" s="17" t="str">
        <x:v>BSZBFJ7</x:v>
      </x:c>
      <x:c r="F31" s="18" t="n">
        <x:v>2.335766</x:v>
      </x:c>
      <x:c r="G31" s="18" t="n">
        <x:v>0.02335766</x:v>
      </x:c>
      <x:c r="H31" s="17" t="str">
        <x:v>Y</x:v>
      </x:c>
      <x:c r="I31" s="18" t="n">
        <x:v>2.2794561391044743</x:v>
      </x:c>
      <x:c r="J31" s="19" t="n">
        <x:v>6116448</x:v>
      </x:c>
      <x:c r="K31" s="17" t="str">
        <x:v>USD</x:v>
      </x:c>
      <x:c r="L31" s="17" t="str">
        <x:v>https://www.ssga.com/library-content/products/fund-data/etfs/us/holdings-daily-us-en-xop.xlsx</x:v>
      </x:c>
    </x:row>
    <x:row r="32">
      <x:c r="A32" s="17" t="n">
        <x:v>31</x:v>
      </x:c>
      <x:c r="B32" s="17" t="str">
        <x:v>CHORD ENERGY CORP</x:v>
      </x:c>
      <x:c r="C32" s="17" t="str">
        <x:v>CHRD</x:v>
      </x:c>
      <x:c r="D32" s="17" t="str">
        <x:v>674215207</x:v>
      </x:c>
      <x:c r="E32" s="17" t="str">
        <x:v>BLDDYB1</x:v>
      </x:c>
      <x:c r="F32" s="18" t="n">
        <x:v>2.306015</x:v>
      </x:c>
      <x:c r="G32" s="18" t="n">
        <x:v>0.023060149999999998</x:v>
      </x:c>
      <x:c r="H32" s="17" t="str">
        <x:v>Y</x:v>
      </x:c>
      <x:c r="I32" s="18" t="n">
        <x:v>2.250422366203209</x:v>
      </x:c>
      <x:c r="J32" s="19" t="n">
        <x:v>588005</x:v>
      </x:c>
      <x:c r="K32" s="17" t="str">
        <x:v>USD</x:v>
      </x:c>
      <x:c r="L32" s="17" t="str">
        <x:v>https://www.ssga.com/library-content/products/fund-data/etfs/us/holdings-daily-us-en-xop.xlsx</x:v>
      </x:c>
    </x:row>
    <x:row r="33">
      <x:c r="A33" s="17" t="n">
        <x:v>32</x:v>
      </x:c>
      <x:c r="B33" s="17" t="str">
        <x:v>CALUMET INC</x:v>
      </x:c>
      <x:c r="C33" s="17" t="str">
        <x:v>CLMT</x:v>
      </x:c>
      <x:c r="D33" s="17" t="str">
        <x:v>131428104</x:v>
      </x:c>
      <x:c r="E33" s="17" t="str">
        <x:v>BPLZLN8</x:v>
      </x:c>
      <x:c r="F33" s="18" t="n">
        <x:v>2.296648</x:v>
      </x:c>
      <x:c r="G33" s="18" t="n">
        <x:v>0.022966479999999997</x:v>
      </x:c>
      <x:c r="H33" s="17" t="str">
        <x:v>Y</x:v>
      </x:c>
      <x:c r="I33" s="18" t="n">
        <x:v>2.2412811826878256</x:v>
      </x:c>
      <x:c r="J33" s="19" t="n">
        <x:v>1858300</x:v>
      </x:c>
      <x:c r="K33" s="17" t="str">
        <x:v>USD</x:v>
      </x:c>
      <x:c r="L33" s="17" t="str">
        <x:v>https://www.ssga.com/library-content/products/fund-data/etfs/us/holdings-daily-us-en-xop.xlsx</x:v>
      </x:c>
    </x:row>
    <x:row r="34">
      <x:c r="A34" s="17" t="n">
        <x:v>33</x:v>
      </x:c>
      <x:c r="B34" s="17" t="str">
        <x:v>MURPHY OIL CORP</x:v>
      </x:c>
      <x:c r="C34" s="17" t="str">
        <x:v>MUR</x:v>
      </x:c>
      <x:c r="D34" s="17" t="str">
        <x:v>626717102</x:v>
      </x:c>
      <x:c r="E34" s="17" t="str">
        <x:v>2611206</x:v>
      </x:c>
      <x:c r="F34" s="18" t="n">
        <x:v>2.279431</x:v>
      </x:c>
      <x:c r="G34" s="18" t="n">
        <x:v>0.02279431</x:v>
      </x:c>
      <x:c r="H34" s="17" t="str">
        <x:v>Y</x:v>
      </x:c>
      <x:c r="I34" s="18" t="n">
        <x:v>2.224479244331432</x:v>
      </x:c>
      <x:c r="J34" s="19" t="n">
        <x:v>2040361</x:v>
      </x:c>
      <x:c r="K34" s="17" t="str">
        <x:v>USD</x:v>
      </x:c>
      <x:c r="L34" s="17" t="str">
        <x:v>https://www.ssga.com/library-content/products/fund-data/etfs/us/holdings-daily-us-en-xop.xlsx</x:v>
      </x:c>
    </x:row>
    <x:row r="35">
      <x:c r="A35" s="17" t="n">
        <x:v>34</x:v>
      </x:c>
      <x:c r="B35" s="17" t="str">
        <x:v>SM ENERGY CO</x:v>
      </x:c>
      <x:c r="C35" s="17" t="str">
        <x:v>SM</x:v>
      </x:c>
      <x:c r="D35" s="17" t="str">
        <x:v>78454L100</x:v>
      </x:c>
      <x:c r="E35" s="17" t="str">
        <x:v>2764188</x:v>
      </x:c>
      <x:c r="F35" s="18" t="n">
        <x:v>2.217304</x:v>
      </x:c>
      <x:c r="G35" s="18" t="n">
        <x:v>0.022173039999999998</x:v>
      </x:c>
      <x:c r="H35" s="17" t="str">
        <x:v>Y</x:v>
      </x:c>
      <x:c r="I35" s="18" t="n">
        <x:v>2.16384998114576</x:v>
      </x:c>
      <x:c r="J35" s="19" t="n">
        <x:v>2475995</x:v>
      </x:c>
      <x:c r="K35" s="17" t="str">
        <x:v>USD</x:v>
      </x:c>
      <x:c r="L35" s="17" t="str">
        <x:v>https://www.ssga.com/library-content/products/fund-data/etfs/us/holdings-daily-us-en-xop.xlsx</x:v>
      </x:c>
    </x:row>
    <x:row r="36">
      <x:c r="A36" s="17" t="n">
        <x:v>35</x:v>
      </x:c>
      <x:c r="B36" s="17" t="str">
        <x:v>NORTHERN OIL AND GAS INC</x:v>
      </x:c>
      <x:c r="C36" s="17" t="str">
        <x:v>NOG</x:v>
      </x:c>
      <x:c r="D36" s="17" t="str">
        <x:v>665531307</x:v>
      </x:c>
      <x:c r="E36" s="17" t="str">
        <x:v>BN6RJM0</x:v>
      </x:c>
      <x:c r="F36" s="18" t="n">
        <x:v>1.927564</x:v>
      </x:c>
      <x:c r="G36" s="18" t="n">
        <x:v>0.01927564</x:v>
      </x:c>
      <x:c r="H36" s="17" t="str">
        <x:v>Y</x:v>
      </x:c>
      <x:c r="I36" s="18" t="n">
        <x:v>1.8810949355872024</x:v>
      </x:c>
      <x:c r="J36" s="19" t="n">
        <x:v>3095260</x:v>
      </x:c>
      <x:c r="K36" s="17" t="str">
        <x:v>USD</x:v>
      </x:c>
      <x:c r="L36" s="17" t="str">
        <x:v>https://www.ssga.com/library-content/products/fund-data/etfs/us/holdings-daily-us-en-xop.xlsx</x:v>
      </x:c>
    </x:row>
    <x:row r="37">
      <x:c r="A37" s="17" t="n">
        <x:v>36</x:v>
      </x:c>
      <x:c r="B37" s="17" t="str">
        <x:v>TALOS ENERGY INC</x:v>
      </x:c>
      <x:c r="C37" s="17" t="str">
        <x:v>TALO</x:v>
      </x:c>
      <x:c r="D37" s="17" t="str">
        <x:v>87484T108</x:v>
      </x:c>
      <x:c r="E37" s="17" t="str">
        <x:v>BDT56V9</x:v>
      </x:c>
      <x:c r="F37" s="18" t="n">
        <x:v>1.515273</x:v>
      </x:c>
      <x:c r="G37" s="18" t="n">
        <x:v>0.015152730000000001</x:v>
      </x:c>
      <x:c r="H37" s="17" t="str">
        <x:v>Y</x:v>
      </x:c>
      <x:c r="I37" s="18" t="n">
        <x:v>1.4787433083062491</x:v>
      </x:c>
      <x:c r="J37" s="19" t="n">
        <x:v>3420815</x:v>
      </x:c>
      <x:c r="K37" s="17" t="str">
        <x:v>USD</x:v>
      </x:c>
      <x:c r="L37" s="17" t="str">
        <x:v>https://www.ssga.com/library-content/products/fund-data/etfs/us/holdings-daily-us-en-xop.xlsx</x:v>
      </x:c>
    </x:row>
    <x:row r="38">
      <x:c r="A38" s="17" t="n">
        <x:v>37</x:v>
      </x:c>
      <x:c r="B38" s="17" t="str">
        <x:v>WORLD KINECT CORP</x:v>
      </x:c>
      <x:c r="C38" s="17" t="str">
        <x:v>WKC</x:v>
      </x:c>
      <x:c r="D38" s="17" t="str">
        <x:v>981475106</x:v>
      </x:c>
      <x:c r="E38" s="17" t="str">
        <x:v>2469450</x:v>
      </x:c>
      <x:c r="F38" s="18" t="n">
        <x:v>1.277105</x:v>
      </x:c>
      <x:c r="G38" s="18" t="n">
        <x:v>0.012771049999999999</x:v>
      </x:c>
      <x:c r="H38" s="17" t="str">
        <x:v>Y</x:v>
      </x:c>
      <x:c r="I38" s="18" t="n">
        <x:v>1.2463169823222957</x:v>
      </x:c>
      <x:c r="J38" s="19" t="n">
        <x:v>1129973</x:v>
      </x:c>
      <x:c r="K38" s="17" t="str">
        <x:v>USD</x:v>
      </x:c>
      <x:c r="L38" s="17" t="str">
        <x:v>https://www.ssga.com/library-content/products/fund-data/etfs/us/holdings-daily-us-en-xop.xlsx</x:v>
      </x:c>
    </x:row>
    <x:row r="39">
      <x:c r="A39" s="17" t="n">
        <x:v>38</x:v>
      </x:c>
      <x:c r="B39" s="17" t="str">
        <x:v>COMSTOCK RESOURCES INC</x:v>
      </x:c>
      <x:c r="C39" s="17" t="str">
        <x:v>CRK</x:v>
      </x:c>
      <x:c r="D39" s="17" t="str">
        <x:v>205768302</x:v>
      </x:c>
      <x:c r="E39" s="17" t="str">
        <x:v>BD82PS1</x:v>
      </x:c>
      <x:c r="F39" s="18" t="n">
        <x:v>1.175098</x:v>
      </x:c>
      <x:c r="G39" s="18" t="n">
        <x:v>0.01175098</x:v>
      </x:c>
      <x:c r="H39" s="17" t="str">
        <x:v>Y</x:v>
      </x:c>
      <x:c r="I39" s="18" t="n">
        <x:v>1.1467691327596128</x:v>
      </x:c>
      <x:c r="J39" s="19" t="n">
        <x:v>2295463</x:v>
      </x:c>
      <x:c r="K39" s="17" t="str">
        <x:v>USD</x:v>
      </x:c>
      <x:c r="L39" s="17" t="str">
        <x:v>https://www.ssga.com/library-content/products/fund-data/etfs/us/holdings-daily-us-en-xop.xlsx</x:v>
      </x:c>
    </x:row>
    <x:row r="40">
      <x:c r="A40" s="17" t="n">
        <x:v>39</x:v>
      </x:c>
      <x:c r="B40" s="17" t="str">
        <x:v>KOSMOS ENERGY LTD</x:v>
      </x:c>
      <x:c r="C40" s="17" t="str">
        <x:v>KOS</x:v>
      </x:c>
      <x:c r="D40" s="17" t="str">
        <x:v>500688106</x:v>
      </x:c>
      <x:c r="E40" s="17" t="str">
        <x:v>BHK15K6</x:v>
      </x:c>
      <x:c r="F40" s="18" t="n">
        <x:v>1.171527</x:v>
      </x:c>
      <x:c r="G40" s="18" t="n">
        <x:v>0.01171527</x:v>
      </x:c>
      <x:c r="H40" s="17" t="str">
        <x:v>Y</x:v>
      </x:c>
      <x:c r="I40" s="18" t="n">
        <x:v>1.1432842212262049</x:v>
      </x:c>
      <x:c r="J40" s="19" t="n">
        <x:v>16182100</x:v>
      </x:c>
      <x:c r="K40" s="17" t="str">
        <x:v>USD</x:v>
      </x:c>
      <x:c r="L40" s="17" t="str">
        <x:v>https://www.ssga.com/library-content/products/fund-data/etfs/us/holdings-daily-us-en-xop.xlsx</x:v>
      </x:c>
    </x:row>
    <x:row r="41">
      <x:c r="A41" s="17" t="n">
        <x:v>40</x:v>
      </x:c>
      <x:c r="B41" s="17" t="str">
        <x:v>GREEN PLAINS INC</x:v>
      </x:c>
      <x:c r="C41" s="17" t="str">
        <x:v>GPRE</x:v>
      </x:c>
      <x:c r="D41" s="17" t="str">
        <x:v>393222104</x:v>
      </x:c>
      <x:c r="E41" s="17" t="str">
        <x:v>B11FJD6</x:v>
      </x:c>
      <x:c r="F41" s="18" t="n">
        <x:v>1.125353</x:v>
      </x:c>
      <x:c r="G41" s="18" t="n">
        <x:v>0.011253530000000001</x:v>
      </x:c>
      <x:c r="H41" s="17" t="str">
        <x:v>Y</x:v>
      </x:c>
      <x:c r="I41" s="18" t="n">
        <x:v>1.0982233684836742</x:v>
      </x:c>
      <x:c r="J41" s="19" t="n">
        <x:v>2132541</x:v>
      </x:c>
      <x:c r="K41" s="17" t="str">
        <x:v>USD</x:v>
      </x:c>
      <x:c r="L41" s="17" t="str">
        <x:v>https://www.ssga.com/library-content/products/fund-data/etfs/us/holdings-daily-us-en-xop.xlsx</x:v>
      </x:c>
    </x:row>
    <x:row r="42">
      <x:c r="A42" s="17" t="n">
        <x:v>41</x:v>
      </x:c>
      <x:c r="B42" s="17" t="str">
        <x:v>BKV CORPORATION</x:v>
      </x:c>
      <x:c r="C42" s="17" t="str">
        <x:v>BKV</x:v>
      </x:c>
      <x:c r="D42" s="17" t="str">
        <x:v>05603J108</x:v>
      </x:c>
      <x:c r="E42" s="17" t="str">
        <x:v>BSRK6R7</x:v>
      </x:c>
      <x:c r="F42" s="18" t="n">
        <x:v>1.042373</x:v>
      </x:c>
      <x:c r="G42" s="18" t="n">
        <x:v>0.010423729999999999</x:v>
      </x:c>
      <x:c r="H42" s="17" t="str">
        <x:v>Y</x:v>
      </x:c>
      <x:c r="I42" s="18" t="n">
        <x:v>1.0172438224063318</x:v>
      </x:c>
      <x:c r="J42" s="19" t="n">
        <x:v>1110381</x:v>
      </x:c>
      <x:c r="K42" s="17" t="str">
        <x:v>USD</x:v>
      </x:c>
      <x:c r="L42" s="17" t="str">
        <x:v>https://www.ssga.com/library-content/products/fund-data/etfs/us/holdings-daily-us-en-xop.xlsx</x:v>
      </x:c>
    </x:row>
    <x:row r="43">
      <x:c r="A43" s="17" t="n">
        <x:v>42</x:v>
      </x:c>
      <x:c r="B43" s="17" t="str">
        <x:v>CVR ENERGY INC</x:v>
      </x:c>
      <x:c r="C43" s="17" t="str">
        <x:v>CVI</x:v>
      </x:c>
      <x:c r="D43" s="17" t="str">
        <x:v>12662P108</x:v>
      </x:c>
      <x:c r="E43" s="17" t="str">
        <x:v>B23PS12</x:v>
      </x:c>
      <x:c r="F43" s="18" t="n">
        <x:v>0.882407</x:v>
      </x:c>
      <x:c r="G43" s="18" t="n">
        <x:v>0.00882407</x:v>
      </x:c>
      <x:c r="H43" s="17" t="str">
        <x:v>Y</x:v>
      </x:c>
      <x:c r="I43" s="18" t="n">
        <x:v>0.8611342289162365</x:v>
      </x:c>
      <x:c r="J43" s="19" t="n">
        <x:v>933835</x:v>
      </x:c>
      <x:c r="K43" s="17" t="str">
        <x:v>USD</x:v>
      </x:c>
      <x:c r="L43" s="17" t="str">
        <x:v>https://www.ssga.com/library-content/products/fund-data/etfs/us/holdings-daily-us-en-xop.xlsx</x:v>
      </x:c>
    </x:row>
    <x:row r="44">
      <x:c r="A44" s="17" t="n">
        <x:v>43</x:v>
      </x:c>
      <x:c r="B44" s="17" t="str">
        <x:v>DIVERSIFIED ENERGY CO</x:v>
      </x:c>
      <x:c r="C44" s="17" t="str">
        <x:v>DEC</x:v>
      </x:c>
      <x:c r="D44" s="17" t="str">
        <x:v>25520W107</x:v>
      </x:c>
      <x:c r="E44" s="17" t="str">
        <x:v>BMHXS56</x:v>
      </x:c>
      <x:c r="F44" s="18" t="n">
        <x:v>0.777409</x:v>
      </x:c>
      <x:c r="G44" s="18" t="n">
        <x:v>0.00777409</x:v>
      </x:c>
      <x:c r="H44" s="17" t="str">
        <x:v>Y</x:v>
      </x:c>
      <x:c r="I44" s="18" t="n">
        <x:v>0.7586674853752775</x:v>
      </x:c>
      <x:c r="J44" s="19" t="n">
        <x:v>1634750</x:v>
      </x:c>
      <x:c r="K44" s="17" t="str">
        <x:v>USD</x:v>
      </x:c>
      <x:c r="L44" s="17" t="str">
        <x:v>https://www.ssga.com/library-content/products/fund-data/etfs/us/holdings-daily-us-en-xop.xlsx</x:v>
      </x:c>
    </x:row>
    <x:row r="45">
      <x:c r="A45" s="17" t="n">
        <x:v>44</x:v>
      </x:c>
      <x:c r="B45" s="17" t="str">
        <x:v>NEW ERA ENERGY + DIGITAL INC</x:v>
      </x:c>
      <x:c r="C45" s="17" t="str">
        <x:v>NUAI</x:v>
      </x:c>
      <x:c r="D45" s="17" t="str">
        <x:v>64428N109</x:v>
      </x:c>
      <x:c r="E45" s="17" t="str">
        <x:v>BSS9S00</x:v>
      </x:c>
      <x:c r="F45" s="18" t="n">
        <x:v>0.603172</x:v>
      </x:c>
      <x:c r="G45" s="18" t="n">
        <x:v>0.006031720000000001</x:v>
      </x:c>
      <x:c r="H45" s="17" t="str">
        <x:v>Y</x:v>
      </x:c>
      <x:c r="I45" s="18" t="n">
        <x:v>0.588630932351924</x:v>
      </x:c>
      <x:c r="J45" s="19" t="n">
        <x:v>2755404</x:v>
      </x:c>
      <x:c r="K45" s="17" t="str">
        <x:v>USD</x:v>
      </x:c>
      <x:c r="L45" s="17" t="str">
        <x:v>https://www.ssga.com/library-content/products/fund-data/etfs/us/holdings-daily-us-en-xop.xlsx</x:v>
      </x:c>
    </x:row>
    <x:row r="46">
      <x:c r="A46" s="17" t="n">
        <x:v>45</x:v>
      </x:c>
      <x:c r="B46" s="17" t="str">
        <x:v>REX AMERICAN RESOURCES CORP</x:v>
      </x:c>
      <x:c r="C46" s="17" t="str">
        <x:v>REX</x:v>
      </x:c>
      <x:c r="D46" s="17" t="str">
        <x:v>761624105</x:v>
      </x:c>
      <x:c r="E46" s="17" t="str">
        <x:v>2063670</x:v>
      </x:c>
      <x:c r="F46" s="18" t="n">
        <x:v>0.545058</x:v>
      </x:c>
      <x:c r="G46" s="18" t="n">
        <x:v>0.00545058</x:v>
      </x:c>
      <x:c r="H46" s="17" t="str">
        <x:v>Y</x:v>
      </x:c>
      <x:c r="I46" s="18" t="n">
        <x:v>0.5319179251123642</x:v>
      </x:c>
      <x:c r="J46" s="19" t="n">
        <x:v>351844</x:v>
      </x:c>
      <x:c r="K46" s="17" t="str">
        <x:v>USD</x:v>
      </x:c>
      <x:c r="L46" s="17" t="str">
        <x:v>https://www.ssga.com/library-content/products/fund-data/etfs/us/holdings-daily-us-en-xop.xlsx</x:v>
      </x:c>
    </x:row>
    <x:row r="47">
      <x:c r="A47" s="17" t="n">
        <x:v>46</x:v>
      </x:c>
      <x:c r="B47" s="17" t="str">
        <x:v>SABLE OFFSHORE CORP</x:v>
      </x:c>
      <x:c r="C47" s="17" t="str">
        <x:v>SOC</x:v>
      </x:c>
      <x:c r="D47" s="17" t="str">
        <x:v>78574H104</x:v>
      </x:c>
      <x:c r="E47" s="17" t="str">
        <x:v>BNM6GH5</x:v>
      </x:c>
      <x:c r="F47" s="18" t="n">
        <x:v>0.496443</x:v>
      </x:c>
      <x:c r="G47" s="18" t="n">
        <x:v>0.004964430000000001</x:v>
      </x:c>
      <x:c r="H47" s="17" t="str">
        <x:v>Y</x:v>
      </x:c>
      <x:c r="I47" s="18" t="n">
        <x:v>0.48447491917659674</x:v>
      </x:c>
      <x:c r="J47" s="19" t="n">
        <x:v>4697683</x:v>
      </x:c>
      <x:c r="K47" s="17" t="str">
        <x:v>USD</x:v>
      </x:c>
      <x:c r="L47" s="17" t="str">
        <x:v>https://www.ssga.com/library-content/products/fund-data/etfs/us/holdings-daily-us-en-xop.xlsx</x:v>
      </x:c>
    </x:row>
    <x:row r="48">
      <x:c r="A48" s="17" t="n">
        <x:v>47</x:v>
      </x:c>
      <x:c r="B48" s="17" t="str">
        <x:v>VAALCO ENERGY INC</x:v>
      </x:c>
      <x:c r="C48" s="17" t="str">
        <x:v>EGY</x:v>
      </x:c>
      <x:c r="D48" s="17" t="str">
        <x:v>91851C201</x:v>
      </x:c>
      <x:c r="E48" s="17" t="str">
        <x:v>2933353</x:v>
      </x:c>
      <x:c r="F48" s="18" t="n">
        <x:v>0.495335</x:v>
      </x:c>
      <x:c r="G48" s="18" t="n">
        <x:v>0.0049533500000000005</x:v>
      </x:c>
      <x:c r="H48" s="17" t="str">
        <x:v>Y</x:v>
      </x:c>
      <x:c r="I48" s="18" t="n">
        <x:v>0.4833936304678272</x:v>
      </x:c>
      <x:c r="J48" s="19" t="n">
        <x:v>2841842</x:v>
      </x:c>
      <x:c r="K48" s="17" t="str">
        <x:v>USD</x:v>
      </x:c>
      <x:c r="L48" s="17" t="str">
        <x:v>https://www.ssga.com/library-content/products/fund-data/etfs/us/holdings-daily-us-en-xop.xlsx</x:v>
      </x:c>
    </x:row>
    <x:row r="49">
      <x:c r="A49" s="17" t="n">
        <x:v>48</x:v>
      </x:c>
      <x:c r="B49" s="17" t="str">
        <x:v>VITESSE ENERGY INC</x:v>
      </x:c>
      <x:c r="C49" s="17" t="str">
        <x:v>VTS</x:v>
      </x:c>
      <x:c r="D49" s="17" t="str">
        <x:v>92852X103</x:v>
      </x:c>
      <x:c r="E49" s="17" t="str">
        <x:v>BMBX3P7</x:v>
      </x:c>
      <x:c r="F49" s="18" t="n">
        <x:v>0.461532</x:v>
      </x:c>
      <x:c r="G49" s="18" t="n">
        <x:v>0.00461532</x:v>
      </x:c>
      <x:c r="H49" s="17" t="str">
        <x:v>Y</x:v>
      </x:c>
      <x:c r="I49" s="18" t="n">
        <x:v>0.45040554181932874</x:v>
      </x:c>
      <x:c r="J49" s="19" t="n">
        <x:v>852972</x:v>
      </x:c>
      <x:c r="K49" s="17" t="str">
        <x:v>USD</x:v>
      </x:c>
      <x:c r="L49" s="17" t="str">
        <x:v>https://www.ssga.com/library-content/products/fund-data/etfs/us/holdings-daily-us-en-xop.xlsx</x:v>
      </x:c>
    </x:row>
    <x:row r="50">
      <x:c r="A50" s="17" t="n">
        <x:v>49</x:v>
      </x:c>
      <x:c r="B50" s="17" t="str">
        <x:v>GEVO INC</x:v>
      </x:c>
      <x:c r="C50" s="17" t="str">
        <x:v>GEVO</x:v>
      </x:c>
      <x:c r="D50" s="17" t="str">
        <x:v>374396406</x:v>
      </x:c>
      <x:c r="E50" s="17" t="str">
        <x:v>BGDLVV9</x:v>
      </x:c>
      <x:c r="F50" s="18" t="n">
        <x:v>0.443012</x:v>
      </x:c>
      <x:c r="G50" s="18" t="n">
        <x:v>0.00443012</x:v>
      </x:c>
      <x:c r="H50" s="17" t="str">
        <x:v>Y</x:v>
      </x:c>
      <x:c r="I50" s="18" t="n">
        <x:v>0.4323320157485602</x:v>
      </x:c>
      <x:c r="J50" s="19" t="n">
        <x:v>8607737</x:v>
      </x:c>
      <x:c r="K50" s="17" t="str">
        <x:v>USD</x:v>
      </x:c>
      <x:c r="L50" s="17" t="str">
        <x:v>https://www.ssga.com/library-content/products/fund-data/etfs/us/holdings-daily-us-en-xop.xlsx</x:v>
      </x:c>
    </x:row>
    <x:row r="51">
      <x:c r="A51" s="17" t="n">
        <x:v>50</x:v>
      </x:c>
      <x:c r="B51" s="17" t="str">
        <x:v>SANDRIDGE ENERGY INC</x:v>
      </x:c>
      <x:c r="C51" s="17" t="str">
        <x:v>SD</x:v>
      </x:c>
      <x:c r="D51" s="17" t="str">
        <x:v>80007P869</x:v>
      </x:c>
      <x:c r="E51" s="17" t="str">
        <x:v>BD1XH30</x:v>
      </x:c>
      <x:c r="F51" s="18" t="n">
        <x:v>0.372239</x:v>
      </x:c>
      <x:c r="G51" s="18" t="n">
        <x:v>0.00372239</x:v>
      </x:c>
      <x:c r="H51" s="17" t="str">
        <x:v>Y</x:v>
      </x:c>
      <x:c r="I51" s="18" t="n">
        <x:v>0.363265187422075</x:v>
      </x:c>
      <x:c r="J51" s="19" t="n">
        <x:v>791892</x:v>
      </x:c>
      <x:c r="K51" s="17" t="str">
        <x:v>USD</x:v>
      </x:c>
      <x:c r="L51" s="17" t="str">
        <x:v>https://www.ssga.com/library-content/products/fund-data/etfs/us/holdings-daily-us-en-xop.xlsx</x:v>
      </x:c>
    </x:row>
    <x:row r="52">
      <x:c r="A52" s="17" t="n">
        <x:v>51</x:v>
      </x:c>
      <x:c r="B52" s="17" t="str">
        <x:v>CLEAN ENERGY FUELS CORP</x:v>
      </x:c>
      <x:c r="C52" s="17" t="str">
        <x:v>CLNE</x:v>
      </x:c>
      <x:c r="D52" s="17" t="str">
        <x:v>184499101</x:v>
      </x:c>
      <x:c r="E52" s="17" t="str">
        <x:v>B1Y1PC2</x:v>
      </x:c>
      <x:c r="F52" s="18" t="n">
        <x:v>0.191113</x:v>
      </x:c>
      <x:c r="G52" s="18" t="n">
        <x:v>0.00191113</x:v>
      </x:c>
      <x:c r="H52" s="17" t="str">
        <x:v>Y</x:v>
      </x:c>
      <x:c r="I52" s="18" t="n">
        <x:v>0.1865057120930236</x:v>
      </x:c>
      <x:c r="J52" s="19" t="n">
        <x:v>2717071</x:v>
      </x:c>
      <x:c r="K52" s="17" t="str">
        <x:v>USD</x:v>
      </x:c>
      <x:c r="L52" s="17" t="str">
        <x:v>https://www.ssga.com/library-content/products/fund-data/etfs/us/holdings-daily-us-en-xop.xlsx</x:v>
      </x:c>
    </x:row>
    <x:row r="53">
      <x:c r="A53" s="17" t="n">
        <x:v>52</x:v>
      </x:c>
      <x:c r="B53" s="17" t="str">
        <x:v>SSI US GOV MONEY MARKET CLASS</x:v>
      </x:c>
      <x:c r="C53" s="17" t="str">
        <x:v>-</x:v>
      </x:c>
      <x:c r="D53" s="17" t="str">
        <x:v>924QSGII3</x:v>
      </x:c>
      <x:c r="E53" s="17" t="str">
        <x:v>-</x:v>
      </x:c>
      <x:c r="F53" s="18" t="n">
        <x:v>0.122087</x:v>
      </x:c>
      <x:c r="G53" s="18" t="n">
        <x:v>0.00122087</x:v>
      </x:c>
      <x:c r="H53" s="17" t="str">
        <x:v>N</x:v>
      </x:c>
      <x:c r="I53" s="18" t="n">
        <x:v>0</x:v>
      </x:c>
      <x:c r="J53" s="19" t="n">
        <x:v>3558235.97</x:v>
      </x:c>
      <x:c r="K53" s="17" t="str">
        <x:v>USD</x:v>
      </x:c>
      <x:c r="L53" s="17" t="str">
        <x:v>https://www.ssga.com/library-content/products/fund-data/etfs/us/holdings-daily-us-en-xop.xlsx</x:v>
      </x:c>
    </x:row>
    <x:row r="54">
      <x:c r="A54" s="17" t="n">
        <x:v>53</x:v>
      </x:c>
      <x:c r="B54" s="17" t="str">
        <x:v>US DOLLAR</x:v>
      </x:c>
      <x:c r="C54" s="17" t="str">
        <x:v>-</x:v>
      </x:c>
      <x:c r="D54" s="17" t="str">
        <x:v>999USDZ92</x:v>
      </x:c>
      <x:c r="E54" s="17" t="str">
        <x:v>-</x:v>
      </x:c>
      <x:c r="F54" s="18" t="n">
        <x:v>0.023797</x:v>
      </x:c>
      <x:c r="G54" s="18" t="n">
        <x:v>0.00023797</x:v>
      </x:c>
      <x:c r="H54" s="17" t="str">
        <x:v>N</x:v>
      </x:c>
      <x:c r="I54" s="18" t="n">
        <x:v>0</x:v>
      </x:c>
      <x:c r="J54" s="19" t="n">
        <x:v>693555.06</x:v>
      </x:c>
      <x:c r="K54" s="17" t="str">
        <x:v>USD</x:v>
      </x:c>
      <x:c r="L54" s="17" t="str">
        <x:v>https://www.ssga.com/library-content/products/fund-data/etfs/us/holdings-daily-us-en-xop.xlsx</x:v>
      </x:c>
    </x:row>
    <x:row r="55">
      <x:c r="A55" s="17" t="n">
        <x:v>54</x:v>
      </x:c>
      <x:c r="B55" s="17" t="str">
        <x:v>XAE ENERGY        SEP26</x:v>
      </x:c>
      <x:c r="C55" s="17" t="str">
        <x:v>IXPU6</x:v>
      </x:c>
      <x:c r="D55" s="17" t="str">
        <x:v>ADI394BH0</x:v>
      </x:c>
      <x:c r="E55" s="17" t="str">
        <x:v>-</x:v>
      </x:c>
      <x:c r="F55" s="18" t="n">
        <x:v>-0.010403</x:v>
      </x:c>
      <x:c r="G55" s="18" t="n">
        <x:v>-0.00010403</x:v>
      </x:c>
      <x:c r="H55" s="17" t="str">
        <x:v>N</x:v>
      </x:c>
      <x:c r="I55" s="18" t="n">
        <x:v>0</x:v>
      </x:c>
      <x:c r="J55" s="19" t="n">
        <x:v>5000</x:v>
      </x:c>
      <x:c r="K55" s="17" t="str">
        <x:v>USD</x:v>
      </x:c>
      <x:c r="L55" s="17" t="str">
        <x:v>https://www.ssga.com/library-content/products/fund-data/etfs/us/holdings-daily-us-en-xop.xlsx</x:v>
      </x:c>
    </x:row>
  </x:sheetData>
  <x:pageMargins left="0.7" right="0.7" top="0.75" bottom="0.75" header="0.3" footer="0.3"/>
  <x:tableParts count="1">
    <x:tablePart xmlns:r="http://schemas.openxmlformats.org/officeDocument/2006/relationships" r:id="R567e94ba69c946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25" t="str">
        <x:v>XOP 成分股做空篮子计算器</x:v>
      </x:c>
      <x:c r="B1"/>
      <x:c r="C1"/>
      <x:c r="D1"/>
      <x:c r="E1"/>
      <x:c r="F1"/>
      <x:c r="G1"/>
      <x:c r="H1"/>
    </x:row>
    <x:row r="2">
      <x:c r="A2" t="str">
        <x:v>数据日期</x:v>
      </x:c>
      <x:c r="B2" t="str">
        <x:v>As of 30-Jun-2026</x:v>
      </x:c>
      <x:c r="C2"/>
      <x:c r="D2" t="str">
        <x:v>官方来源</x:v>
      </x:c>
      <x:c r="E2" t="str">
        <x:v>https://www.ssga.com/library-content/products/fund-data/etfs/us/holdings-daily-us-en-xop.xlsx</x:v>
      </x:c>
      <x:c r="F2"/>
      <x:c r="G2"/>
      <x:c r="H2"/>
    </x:row>
    <x:row r="3">
      <x:c r="A3" t="str">
        <x:v>输入：目标 XOP 股数</x:v>
      </x:c>
      <x:c r="B3" s="28" t="n">
        <x:v>990</x:v>
      </x:c>
      <x:c r="C3"/>
      <x:c r="D3" t="str">
        <x:v>输入：XOP 参考价格</x:v>
      </x:c>
      <x:c r="E3" s="28" t="n">
        <x:v>154.21</x:v>
      </x:c>
      <x:c r="F3"/>
      <x:c r="G3"/>
      <x:c r="H3"/>
    </x:row>
    <x:row r="4">
      <x:c r="A4" t="str">
        <x:v>目标名义金额</x:v>
      </x:c>
      <x:c r="B4" t="n">
        <x:f>B3*E3</x:f>
        <x:v>152667.9</x:v>
      </x:c>
      <x:c r="C4"/>
      <x:c r="D4" t="str">
        <x:v>股票权重重归一化基准</x:v>
      </x:c>
      <x:c r="E4" t="str">
        <x:v>51只股票官方权重合计</x:v>
      </x:c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 s="5" t="str">
        <x:v>Rank</x:v>
      </x:c>
      <x:c r="B6" s="5" t="str">
        <x:v>Name</x:v>
      </x:c>
      <x:c r="C6" s="5" t="str">
        <x:v>Ticker</x:v>
      </x:c>
      <x:c r="D6" s="5" t="str">
        <x:v>Official Weight %</x:v>
      </x:c>
      <x:c r="E6" s="5" t="str">
        <x:v>Re-normalized Equity Weight %</x:v>
      </x:c>
      <x:c r="F6" s="5" t="str">
        <x:v>Target Short USD</x:v>
      </x:c>
      <x:c r="G6" s="5" t="str">
        <x:v>Input Stock Price</x:v>
      </x:c>
      <x:c r="H6" s="5" t="str">
        <x:v>Target Short Shares</x:v>
      </x:c>
    </x:row>
    <x:row r="7">
      <x:c r="A7" t="n">
        <x:v>1</x:v>
      </x:c>
      <x:c r="B7" t="str">
        <x:v>TEXAS PACIFIC LAND CORP</x:v>
      </x:c>
      <x:c r="C7" t="str">
        <x:v>TPL</x:v>
      </x:c>
      <x:c r="D7" s="12" t="n">
        <x:v>3.253349</x:v>
      </x:c>
      <x:c r="E7" s="12" t="n">
        <x:v>3.174918356847134</x:v>
      </x:c>
      <x:c r="F7" s="30" t="n">
        <x:f>$B$4*E7/100</x:f>
        <x:v>4847.0811821130255</x:v>
      </x:c>
      <x:c r="G7" s="32" t="str"/>
      <x:c r="H7" s="14" t="str">
        <x:f>IFERROR(F7/G7,"")</x:f>
      </x:c>
    </x:row>
    <x:row r="8">
      <x:c r="A8" t="n">
        <x:v>2</x:v>
      </x:c>
      <x:c r="B8" t="str">
        <x:v>PBF ENERGY INC CLASS A</x:v>
      </x:c>
      <x:c r="C8" t="str">
        <x:v>PBF</x:v>
      </x:c>
      <x:c r="D8" s="12" t="n">
        <x:v>2.982361</x:v>
      </x:c>
      <x:c r="E8" s="12" t="n">
        <x:v>2.9104632443813974</x:v>
      </x:c>
      <x:c r="F8" s="30" t="n">
        <x:f>$B$4*E8/100</x:f>
        <x:v>4443.343115468947</x:v>
      </x:c>
      <x:c r="G8" s="32" t="str"/>
      <x:c r="H8" s="14" t="str">
        <x:f>IFERROR(F8/G8,"")</x:f>
      </x:c>
    </x:row>
    <x:row r="9">
      <x:c r="A9" t="n">
        <x:v>3</x:v>
      </x:c>
      <x:c r="B9" t="str">
        <x:v>DELEK US HOLDINGS INC</x:v>
      </x:c>
      <x:c r="C9" t="str">
        <x:v>DK</x:v>
      </x:c>
      <x:c r="D9" s="12" t="n">
        <x:v>2.875953</x:v>
      </x:c>
      <x:c r="E9" s="12" t="n">
        <x:v>2.8066204926460654</x:v>
      </x:c>
      <x:c r="F9" s="30" t="n">
        <x:f>$B$4*E9/100</x:f>
        <x:v>4284.808567092402</x:v>
      </x:c>
      <x:c r="G9" s="32" t="str"/>
      <x:c r="H9" s="14" t="str">
        <x:f>IFERROR(F9/G9,"")</x:f>
      </x:c>
    </x:row>
    <x:row r="10">
      <x:c r="A10" t="n">
        <x:v>4</x:v>
      </x:c>
      <x:c r="B10" t="str">
        <x:v>EXPAND ENERGY CORP</x:v>
      </x:c>
      <x:c r="C10" t="str">
        <x:v>EXE</x:v>
      </x:c>
      <x:c r="D10" s="12" t="n">
        <x:v>2.871889</x:v>
      </x:c>
      <x:c r="E10" s="12" t="n">
        <x:v>2.8026544661907957</x:v>
      </x:c>
      <x:c r="F10" s="30" t="n">
        <x:f>$B$4*E10/100</x:f>
        <x:v>4278.7537177896975</x:v>
      </x:c>
      <x:c r="G10" s="32" t="str"/>
      <x:c r="H10" s="14" t="str">
        <x:f>IFERROR(F10/G10,"")</x:f>
      </x:c>
    </x:row>
    <x:row r="11">
      <x:c r="A11" t="n">
        <x:v>5</x:v>
      </x:c>
      <x:c r="B11" t="str">
        <x:v>CNX RESOURCES CORP</x:v>
      </x:c>
      <x:c r="C11" t="str">
        <x:v>CNX</x:v>
      </x:c>
      <x:c r="D11" s="12" t="n">
        <x:v>2.85036</x:v>
      </x:c>
      <x:c r="E11" s="12" t="n">
        <x:v>2.7816444800796947</x:v>
      </x:c>
      <x:c r="F11" s="30" t="n">
        <x:f>$B$4*E11/100</x:f>
        <x:v>4246.678213203588</x:v>
      </x:c>
      <x:c r="G11" s="32" t="str"/>
      <x:c r="H11" s="14" t="str">
        <x:f>IFERROR(F11/G11,"")</x:f>
      </x:c>
    </x:row>
    <x:row r="12">
      <x:c r="A12" t="n">
        <x:v>6</x:v>
      </x:c>
      <x:c r="B12" t="str">
        <x:v>EQT CORP</x:v>
      </x:c>
      <x:c r="C12" t="str">
        <x:v>EQT</x:v>
      </x:c>
      <x:c r="D12" s="12" t="n">
        <x:v>2.818741</x:v>
      </x:c>
      <x:c r="E12" s="12" t="n">
        <x:v>2.7507877402939704</x:v>
      </x:c>
      <x:c r="F12" s="30" t="n">
        <x:f>$B$4*E12/100</x:f>
        <x:v>4199.569876564258</x:v>
      </x:c>
      <x:c r="G12" s="32" t="str"/>
      <x:c r="H12" s="14" t="str">
        <x:f>IFERROR(F12/G12,"")</x:f>
      </x:c>
    </x:row>
    <x:row r="13">
      <x:c r="A13" t="n">
        <x:v>7</x:v>
      </x:c>
      <x:c r="B13" t="str">
        <x:v>VALERO ENERGY CORP</x:v>
      </x:c>
      <x:c r="C13" t="str">
        <x:v>VLO</x:v>
      </x:c>
      <x:c r="D13" s="12" t="n">
        <x:v>2.81548</x:v>
      </x:c>
      <x:c r="E13" s="12" t="n">
        <x:v>2.7476053553848567</x:v>
      </x:c>
      <x:c r="F13" s="30" t="n">
        <x:f>$B$4*E13/100</x:f>
        <x:v>4194.711396353598</x:v>
      </x:c>
      <x:c r="G13" s="32" t="str"/>
      <x:c r="H13" s="14" t="str">
        <x:f>IFERROR(F13/G13,"")</x:f>
      </x:c>
    </x:row>
    <x:row r="14">
      <x:c r="A14" t="n">
        <x:v>8</x:v>
      </x:c>
      <x:c r="B14" t="str">
        <x:v>ANTERO RESOURCES CORP</x:v>
      </x:c>
      <x:c r="C14" t="str">
        <x:v>AR</x:v>
      </x:c>
      <x:c r="D14" s="12" t="n">
        <x:v>2.749954</x:v>
      </x:c>
      <x:c r="E14" s="12" t="n">
        <x:v>2.683659034147644</x:v>
      </x:c>
      <x:c r="F14" s="30" t="n">
        <x:f>$B$4*E14/100</x:f>
        <x:v>4097.08589059349</x:v>
      </x:c>
      <x:c r="G14" s="32" t="str"/>
      <x:c r="H14" s="14" t="str">
        <x:f>IFERROR(F14/G14,"")</x:f>
      </x:c>
    </x:row>
    <x:row r="15">
      <x:c r="A15" t="n">
        <x:v>9</x:v>
      </x:c>
      <x:c r="B15" t="str">
        <x:v>HF SINCLAIR CORP</x:v>
      </x:c>
      <x:c r="C15" t="str">
        <x:v>DINO</x:v>
      </x:c>
      <x:c r="D15" s="12" t="n">
        <x:v>2.745313</x:v>
      </x:c>
      <x:c r="E15" s="12" t="n">
        <x:v>2.679129917814251</x:v>
      </x:c>
      <x:c r="F15" s="30" t="n">
        <x:f>$B$4*E15/100</x:f>
        <x:v>4090.1713837987427</x:v>
      </x:c>
      <x:c r="G15" s="32" t="str"/>
      <x:c r="H15" s="14" t="str">
        <x:f>IFERROR(F15/G15,"")</x:f>
      </x:c>
    </x:row>
    <x:row r="16">
      <x:c r="A16" t="n">
        <x:v>10</x:v>
      </x:c>
      <x:c r="B16" t="str">
        <x:v>PAR PACIFIC HOLDINGS INC</x:v>
      </x:c>
      <x:c r="C16" t="str">
        <x:v>PARR</x:v>
      </x:c>
      <x:c r="D16" s="12" t="n">
        <x:v>2.714085</x:v>
      </x:c>
      <x:c r="E16" s="12" t="n">
        <x:v>2.6486547519320713</x:v>
      </x:c>
      <x:c r="F16" s="30" t="n">
        <x:f>$B$4*E16/100</x:f>
        <x:v>4043.6455880249023</x:v>
      </x:c>
      <x:c r="G16" s="32" t="str"/>
      <x:c r="H16" s="14" t="str">
        <x:f>IFERROR(F16/G16,"")</x:f>
      </x:c>
    </x:row>
    <x:row r="17">
      <x:c r="A17" t="n">
        <x:v>11</x:v>
      </x:c>
      <x:c r="B17" t="str">
        <x:v>MARATHON PETROLEUM CORP</x:v>
      </x:c>
      <x:c r="C17" t="str">
        <x:v>MPC</x:v>
      </x:c>
      <x:c r="D17" s="12" t="n">
        <x:v>2.708078</x:v>
      </x:c>
      <x:c r="E17" s="12" t="n">
        <x:v>2.6427925666671093</x:v>
      </x:c>
      <x:c r="F17" s="30" t="n">
        <x:f>$B$4*E17/100</x:f>
        <x:v>4034.695912886775</x:v>
      </x:c>
      <x:c r="G17" s="32" t="str"/>
      <x:c r="H17" s="14" t="str">
        <x:f>IFERROR(F17/G17,"")</x:f>
      </x:c>
    </x:row>
    <x:row r="18">
      <x:c r="A18" t="n">
        <x:v>12</x:v>
      </x:c>
      <x:c r="B18" t="str">
        <x:v>RANGE RESOURCES CORP</x:v>
      </x:c>
      <x:c r="C18" t="str">
        <x:v>RRC</x:v>
      </x:c>
      <x:c r="D18" s="12" t="n">
        <x:v>2.650169</x:v>
      </x:c>
      <x:c r="E18" s="12" t="n">
        <x:v>2.586279617356518</x:v>
      </x:c>
      <x:c r="F18" s="30" t="n">
        <x:f>$B$4*E18/100</x:f>
        <x:v>3948.4187799462316</x:v>
      </x:c>
      <x:c r="G18" s="32" t="str"/>
      <x:c r="H18" s="14" t="str">
        <x:f>IFERROR(F18/G18,"")</x:f>
      </x:c>
    </x:row>
    <x:row r="19">
      <x:c r="A19" t="n">
        <x:v>13</x:v>
      </x:c>
      <x:c r="B19" t="str">
        <x:v>VIPER ENERGY INC CL A</x:v>
      </x:c>
      <x:c r="C19" t="str">
        <x:v>VNOM</x:v>
      </x:c>
      <x:c r="D19" s="12" t="n">
        <x:v>2.640872</x:v>
      </x:c>
      <x:c r="E19" s="12" t="n">
        <x:v>2.577206746304686</x:v>
      </x:c>
      <x:c r="F19" s="30" t="n">
        <x:f>$B$4*E19/100</x:f>
        <x:v>3934.567418241691</x:v>
      </x:c>
      <x:c r="G19" s="32" t="str"/>
      <x:c r="H19" s="14" t="str">
        <x:f>IFERROR(F19/G19,"")</x:f>
      </x:c>
    </x:row>
    <x:row r="20">
      <x:c r="A20" t="n">
        <x:v>14</x:v>
      </x:c>
      <x:c r="B20" t="str">
        <x:v>PERMIAN RESOURCES CORP CL A</x:v>
      </x:c>
      <x:c r="C20" t="str">
        <x:v>PR</x:v>
      </x:c>
      <x:c r="D20" s="12" t="n">
        <x:v>2.602439</x:v>
      </x:c>
      <x:c r="E20" s="12" t="n">
        <x:v>2.5397002761384955</x:v>
      </x:c>
      <x:c r="F20" s="30" t="n">
        <x:f>$B$4*E20/100</x:f>
        <x:v>3877.3070778748424</x:v>
      </x:c>
      <x:c r="G20" s="32" t="str"/>
      <x:c r="H20" s="14" t="str">
        <x:f>IFERROR(F20/G20,"")</x:f>
      </x:c>
    </x:row>
    <x:row r="21">
      <x:c r="A21" t="n">
        <x:v>15</x:v>
      </x:c>
      <x:c r="B21" t="str">
        <x:v>PHILLIPS 66</x:v>
      </x:c>
      <x:c r="C21" t="str">
        <x:v>PSX</x:v>
      </x:c>
      <x:c r="D21" s="12" t="n">
        <x:v>2.594762</x:v>
      </x:c>
      <x:c r="E21" s="12" t="n">
        <x:v>2.532208350671687</x:v>
      </x:c>
      <x:c r="F21" s="30" t="n">
        <x:f>$B$4*E21/100</x:f>
        <x:v>3865.8693125951004</x:v>
      </x:c>
      <x:c r="G21" s="32" t="str"/>
      <x:c r="H21" s="14" t="str">
        <x:f>IFERROR(F21/G21,"")</x:f>
      </x:c>
    </x:row>
    <x:row r="22">
      <x:c r="A22" t="n">
        <x:v>16</x:v>
      </x:c>
      <x:c r="B22" t="str">
        <x:v>EOG RESOURCES INC</x:v>
      </x:c>
      <x:c r="C22" t="str">
        <x:v>EOG</x:v>
      </x:c>
      <x:c r="D22" s="12" t="n">
        <x:v>2.579402</x:v>
      </x:c>
      <x:c r="E22" s="12" t="n">
        <x:v>2.517218644384052</x:v>
      </x:c>
      <x:c r="F22" s="30" t="n">
        <x:f>$B$4*E22/100</x:f>
        <x:v>3842.9848427896004</x:v>
      </x:c>
      <x:c r="G22" s="32" t="str"/>
      <x:c r="H22" s="14" t="str">
        <x:f>IFERROR(F22/G22,"")</x:f>
      </x:c>
    </x:row>
    <x:row r="23">
      <x:c r="A23" t="n">
        <x:v>17</x:v>
      </x:c>
      <x:c r="B23" t="str">
        <x:v>MAGNOLIA OIL + GAS CORP   A</x:v>
      </x:c>
      <x:c r="C23" t="str">
        <x:v>MGY</x:v>
      </x:c>
      <x:c r="D23" s="12" t="n">
        <x:v>2.565454</x:v>
      </x:c>
      <x:c r="E23" s="12" t="n">
        <x:v>2.503606898075462</x:v>
      </x:c>
      <x:c r="F23" s="30" t="n">
        <x:f>$B$4*E23/100</x:f>
        <x:v>3822.204075546948</x:v>
      </x:c>
      <x:c r="G23" s="32" t="str"/>
      <x:c r="H23" s="14" t="str">
        <x:f>IFERROR(F23/G23,"")</x:f>
      </x:c>
    </x:row>
    <x:row r="24">
      <x:c r="A24" t="n">
        <x:v>18</x:v>
      </x:c>
      <x:c r="B24" t="str">
        <x:v>OVINTIV INC</x:v>
      </x:c>
      <x:c r="C24" t="str">
        <x:v>OVV</x:v>
      </x:c>
      <x:c r="D24" s="12" t="n">
        <x:v>2.534386</x:v>
      </x:c>
      <x:c r="E24" s="12" t="n">
        <x:v>2.4732878749671126</x:v>
      </x:c>
      <x:c r="F24" s="30" t="n">
        <x:f>$B$4*E24/100</x:f>
        <x:v>3775.916659666916</x:v>
      </x:c>
      <x:c r="G24" s="32" t="str"/>
      <x:c r="H24" s="14" t="str">
        <x:f>IFERROR(F24/G24,"")</x:f>
      </x:c>
    </x:row>
    <x:row r="25">
      <x:c r="A25" t="n">
        <x:v>19</x:v>
      </x:c>
      <x:c r="B25" t="str">
        <x:v>EXXON MOBIL CORP</x:v>
      </x:c>
      <x:c r="C25" t="str">
        <x:v>XOM</x:v>
      </x:c>
      <x:c r="D25" s="12" t="n">
        <x:v>2.531657</x:v>
      </x:c>
      <x:c r="E25" s="12" t="n">
        <x:v>2.4706246647809826</x:v>
      </x:c>
      <x:c r="F25" s="30" t="n">
        <x:f>$B$4*E25/100</x:f>
        <x:v>3771.8507926031657</x:v>
      </x:c>
      <x:c r="G25" s="32" t="str"/>
      <x:c r="H25" s="14" t="str">
        <x:f>IFERROR(F25/G25,"")</x:f>
      </x:c>
    </x:row>
    <x:row r="26">
      <x:c r="A26" t="n">
        <x:v>20</x:v>
      </x:c>
      <x:c r="B26" t="str">
        <x:v>MATADOR RESOURCES CO</x:v>
      </x:c>
      <x:c r="C26" t="str">
        <x:v>MTDR</x:v>
      </x:c>
      <x:c r="D26" s="12" t="n">
        <x:v>2.528531</x:v>
      </x:c>
      <x:c r="E26" s="12" t="n">
        <x:v>2.4675740253372878</x:v>
      </x:c>
      <x:c r="F26" s="30" t="n">
        <x:f>$B$4*E26/100</x:f>
        <x:v>3767.193445427905</x:v>
      </x:c>
      <x:c r="G26" s="32" t="str"/>
      <x:c r="H26" s="14" t="str">
        <x:f>IFERROR(F26/G26,"")</x:f>
      </x:c>
    </x:row>
    <x:row r="27">
      <x:c r="A27" t="n">
        <x:v>21</x:v>
      </x:c>
      <x:c r="B27" t="str">
        <x:v>CALIFORNIA RESOURCES CORP</x:v>
      </x:c>
      <x:c r="C27" t="str">
        <x:v>CRC</x:v>
      </x:c>
      <x:c r="D27" s="12" t="n">
        <x:v>2.504828</x:v>
      </x:c>
      <x:c r="E27" s="12" t="n">
        <x:v>2.444442449286779</x:v>
      </x:c>
      <x:c r="F27" s="30" t="n">
        <x:f>$B$4*E27/100</x:f>
        <x:v>3731.87895403469</x:v>
      </x:c>
      <x:c r="G27" s="32" t="str"/>
      <x:c r="H27" s="14" t="str">
        <x:f>IFERROR(F27/G27,"")</x:f>
      </x:c>
    </x:row>
    <x:row r="28">
      <x:c r="A28" t="n">
        <x:v>22</x:v>
      </x:c>
      <x:c r="B28" t="str">
        <x:v>DIAMONDBACK ENERGY INC</x:v>
      </x:c>
      <x:c r="C28" t="str">
        <x:v>FANG</x:v>
      </x:c>
      <x:c r="D28" s="12" t="n">
        <x:v>2.494364</x:v>
      </x:c>
      <x:c r="E28" s="12" t="n">
        <x:v>2.4342307118783273</x:v>
      </x:c>
      <x:c r="F28" s="30" t="n">
        <x:f>$B$4*E28/100</x:f>
        <x:v>3716.2889089796927</x:v>
      </x:c>
      <x:c r="G28" s="32" t="str"/>
      <x:c r="H28" s="14" t="str">
        <x:f>IFERROR(F28/G28,"")</x:f>
      </x:c>
    </x:row>
    <x:row r="29">
      <x:c r="A29" t="n">
        <x:v>23</x:v>
      </x:c>
      <x:c r="B29" t="str">
        <x:v>GULFPORT ENERGY CORP</x:v>
      </x:c>
      <x:c r="C29" t="str">
        <x:v>GPOR</x:v>
      </x:c>
      <x:c r="D29" s="12" t="n">
        <x:v>2.49241</x:v>
      </x:c>
      <x:c r="E29" s="12" t="n">
        <x:v>2.432323818252934</x:v>
      </x:c>
      <x:c r="F29" s="30" t="n">
        <x:f>$B$4*E29/100</x:f>
        <x:v>3713.377694526571</x:v>
      </x:c>
      <x:c r="G29" s="32" t="str"/>
      <x:c r="H29" s="14" t="str">
        <x:f>IFERROR(F29/G29,"")</x:f>
      </x:c>
    </x:row>
    <x:row r="30">
      <x:c r="A30" t="n">
        <x:v>24</x:v>
      </x:c>
      <x:c r="B30" t="str">
        <x:v>DEVON ENERGY CORP</x:v>
      </x:c>
      <x:c r="C30" t="str">
        <x:v>DVN</x:v>
      </x:c>
      <x:c r="D30" s="12" t="n">
        <x:v>2.473047</x:v>
      </x:c>
      <x:c r="E30" s="12" t="n">
        <x:v>2.4134276149425515</x:v>
      </x:c>
      <x:c r="F30" s="30" t="n">
        <x:f>$B$4*E30/100</x:f>
        <x:v>3684.52925775288</x:v>
      </x:c>
      <x:c r="G30" s="32" t="str"/>
      <x:c r="H30" s="14" t="str">
        <x:f>IFERROR(F30/G30,"")</x:f>
      </x:c>
    </x:row>
    <x:row r="31">
      <x:c r="A31" t="n">
        <x:v>25</x:v>
      </x:c>
      <x:c r="B31" t="str">
        <x:v>CHEVRON CORP</x:v>
      </x:c>
      <x:c r="C31" t="str">
        <x:v>CVX</x:v>
      </x:c>
      <x:c r="D31" s="12" t="n">
        <x:v>2.435594</x:v>
      </x:c>
      <x:c r="E31" s="12" t="n">
        <x:v>2.3768775192660665</x:v>
      </x:c>
      <x:c r="F31" s="30" t="n">
        <x:f>$B$4*E31/100</x:f>
        <x:v>3628.7289942355987</x:v>
      </x:c>
      <x:c r="G31" s="32" t="str"/>
      <x:c r="H31" s="14" t="str">
        <x:f>IFERROR(F31/G31,"")</x:f>
      </x:c>
    </x:row>
    <x:row r="32">
      <x:c r="A32" t="n">
        <x:v>26</x:v>
      </x:c>
      <x:c r="B32" t="str">
        <x:v>CONOCOPHILLIPS</x:v>
      </x:c>
      <x:c r="C32" t="str">
        <x:v>COP</x:v>
      </x:c>
      <x:c r="D32" s="12" t="n">
        <x:v>2.41782</x:v>
      </x:c>
      <x:c r="E32" s="12" t="n">
        <x:v>2.359532008878278</x:v>
      </x:c>
      <x:c r="F32" s="30" t="n">
        <x:f>$B$4*E32/100</x:f>
        <x:v>3602.2479677822803</x:v>
      </x:c>
      <x:c r="G32" s="32" t="str"/>
      <x:c r="H32" s="14" t="str">
        <x:f>IFERROR(F32/G32,"")</x:f>
      </x:c>
    </x:row>
    <x:row r="33">
      <x:c r="A33" t="n">
        <x:v>27</x:v>
      </x:c>
      <x:c r="B33" t="str">
        <x:v>APA CORP</x:v>
      </x:c>
      <x:c r="C33" t="str">
        <x:v>APA</x:v>
      </x:c>
      <x:c r="D33" s="12" t="n">
        <x:v>2.390492</x:v>
      </x:c>
      <x:c r="E33" s="12" t="n">
        <x:v>2.3328628231081936</x:v>
      </x:c>
      <x:c r="F33" s="30" t="n">
        <x:f>$B$4*E33/100</x:f>
        <x:v>3561.5326819199936</x:v>
      </x:c>
      <x:c r="G33" s="32" t="str"/>
      <x:c r="H33" s="14" t="str">
        <x:f>IFERROR(F33/G33,"")</x:f>
      </x:c>
    </x:row>
    <x:row r="34">
      <x:c r="A34" t="n">
        <x:v>28</x:v>
      </x:c>
      <x:c r="B34" t="str">
        <x:v>OCCIDENTAL PETROLEUM CORP</x:v>
      </x:c>
      <x:c r="C34" t="str">
        <x:v>OXY</x:v>
      </x:c>
      <x:c r="D34" s="12" t="n">
        <x:v>2.372447</x:v>
      </x:c>
      <x:c r="E34" s="12" t="n">
        <x:v>2.315252845897232</x:v>
      </x:c>
      <x:c r="F34" s="30" t="n">
        <x:f>$B$4*E34/100</x:f>
        <x:v>3534.64789952154</x:v>
      </x:c>
      <x:c r="G34" s="32" t="str"/>
      <x:c r="H34" s="14" t="str">
        <x:f>IFERROR(F34/G34,"")</x:f>
      </x:c>
    </x:row>
    <x:row r="35">
      <x:c r="A35" t="n">
        <x:v>29</x:v>
      </x:c>
      <x:c r="B35" t="str">
        <x:v>CRESCENT ENERGY INC A</x:v>
      </x:c>
      <x:c r="C35" t="str">
        <x:v>CRGY</x:v>
      </x:c>
      <x:c r="D35" s="12" t="n">
        <x:v>2.338906</x:v>
      </x:c>
      <x:c r="E35" s="12" t="n">
        <x:v>2.2825204410408793</x:v>
      </x:c>
      <x:c r="F35" s="30" t="n">
        <x:f>$B$4*E35/100</x:f>
        <x:v>3484.6760244078487</x:v>
      </x:c>
      <x:c r="G35" s="32" t="str"/>
      <x:c r="H35" s="14" t="str">
        <x:f>IFERROR(F35/G35,"")</x:f>
      </x:c>
    </x:row>
    <x:row r="36">
      <x:c r="A36" t="n">
        <x:v>30</x:v>
      </x:c>
      <x:c r="B36" t="str">
        <x:v>VENTURE GLOBAL INC CL A</x:v>
      </x:c>
      <x:c r="C36" t="str">
        <x:v>VG</x:v>
      </x:c>
      <x:c r="D36" s="12" t="n">
        <x:v>2.335766</x:v>
      </x:c>
      <x:c r="E36" s="12" t="n">
        <x:v>2.2794561391044743</x:v>
      </x:c>
      <x:c r="F36" s="30" t="n">
        <x:f>$B$4*E36/100</x:f>
        <x:v>3479.9978189918793</x:v>
      </x:c>
      <x:c r="G36" s="32" t="str"/>
      <x:c r="H36" s="14" t="str">
        <x:f>IFERROR(F36/G36,"")</x:f>
      </x:c>
    </x:row>
    <x:row r="37">
      <x:c r="A37" t="n">
        <x:v>31</x:v>
      </x:c>
      <x:c r="B37" t="str">
        <x:v>CHORD ENERGY CORP</x:v>
      </x:c>
      <x:c r="C37" t="str">
        <x:v>CHRD</x:v>
      </x:c>
      <x:c r="D37" s="12" t="n">
        <x:v>2.306015</x:v>
      </x:c>
      <x:c r="E37" s="12" t="n">
        <x:v>2.250422366203209</x:v>
      </x:c>
      <x:c r="F37" s="30" t="n">
        <x:f>$B$4*E37/100</x:f>
        <x:v>3435.672567612749</x:v>
      </x:c>
      <x:c r="G37" s="32" t="str"/>
      <x:c r="H37" s="14" t="str">
        <x:f>IFERROR(F37/G37,"")</x:f>
      </x:c>
    </x:row>
    <x:row r="38">
      <x:c r="A38" t="n">
        <x:v>32</x:v>
      </x:c>
      <x:c r="B38" t="str">
        <x:v>CALUMET INC</x:v>
      </x:c>
      <x:c r="C38" t="str">
        <x:v>CLMT</x:v>
      </x:c>
      <x:c r="D38" s="12" t="n">
        <x:v>2.296648</x:v>
      </x:c>
      <x:c r="E38" s="12" t="n">
        <x:v>2.2412811826878256</x:v>
      </x:c>
      <x:c r="F38" s="30" t="n">
        <x:f>$B$4*E38/100</x:f>
        <x:v>3421.7169147046666</x:v>
      </x:c>
      <x:c r="G38" s="32" t="str"/>
      <x:c r="H38" s="14" t="str">
        <x:f>IFERROR(F38/G38,"")</x:f>
      </x:c>
    </x:row>
    <x:row r="39">
      <x:c r="A39" t="n">
        <x:v>33</x:v>
      </x:c>
      <x:c r="B39" t="str">
        <x:v>MURPHY OIL CORP</x:v>
      </x:c>
      <x:c r="C39" t="str">
        <x:v>MUR</x:v>
      </x:c>
      <x:c r="D39" s="12" t="n">
        <x:v>2.279431</x:v>
      </x:c>
      <x:c r="E39" s="12" t="n">
        <x:v>2.224479244331432</x:v>
      </x:c>
      <x:c r="F39" s="30" t="n">
        <x:f>$B$4*E39/100</x:f>
        <x:v>3396.065748256666</x:v>
      </x:c>
      <x:c r="G39" s="32" t="str"/>
      <x:c r="H39" s="14" t="str">
        <x:f>IFERROR(F39/G39,"")</x:f>
      </x:c>
    </x:row>
    <x:row r="40">
      <x:c r="A40" t="n">
        <x:v>34</x:v>
      </x:c>
      <x:c r="B40" t="str">
        <x:v>SM ENERGY CO</x:v>
      </x:c>
      <x:c r="C40" t="str">
        <x:v>SM</x:v>
      </x:c>
      <x:c r="D40" s="12" t="n">
        <x:v>2.217304</x:v>
      </x:c>
      <x:c r="E40" s="12" t="n">
        <x:v>2.16384998114576</x:v>
      </x:c>
      <x:c r="F40" s="30" t="n">
        <x:f>$B$4*E40/100</x:f>
        <x:v>3303.5043253656277</x:v>
      </x:c>
      <x:c r="G40" s="32" t="str"/>
      <x:c r="H40" s="14" t="str">
        <x:f>IFERROR(F40/G40,"")</x:f>
      </x:c>
    </x:row>
    <x:row r="41">
      <x:c r="A41" t="n">
        <x:v>35</x:v>
      </x:c>
      <x:c r="B41" t="str">
        <x:v>NORTHERN OIL AND GAS INC</x:v>
      </x:c>
      <x:c r="C41" t="str">
        <x:v>NOG</x:v>
      </x:c>
      <x:c r="D41" s="12" t="n">
        <x:v>1.927564</x:v>
      </x:c>
      <x:c r="E41" s="12" t="n">
        <x:v>1.8810949355872024</x:v>
      </x:c>
      <x:c r="F41" s="30" t="n">
        <x:f>$B$4*E41/100</x:f>
        <x:v>2871.8281351673345</x:v>
      </x:c>
      <x:c r="G41" s="32" t="str"/>
      <x:c r="H41" s="14" t="str">
        <x:f>IFERROR(F41/G41,"")</x:f>
      </x:c>
    </x:row>
    <x:row r="42">
      <x:c r="A42" t="n">
        <x:v>36</x:v>
      </x:c>
      <x:c r="B42" t="str">
        <x:v>TALOS ENERGY INC</x:v>
      </x:c>
      <x:c r="C42" t="str">
        <x:v>TALO</x:v>
      </x:c>
      <x:c r="D42" s="12" t="n">
        <x:v>1.515273</x:v>
      </x:c>
      <x:c r="E42" s="12" t="n">
        <x:v>1.4787433083062491</x:v>
      </x:c>
      <x:c r="F42" s="30" t="n">
        <x:f>$B$4*E42/100</x:f>
        <x:v>2257.566355181676</x:v>
      </x:c>
      <x:c r="G42" s="32" t="str"/>
      <x:c r="H42" s="14" t="str">
        <x:f>IFERROR(F42/G42,"")</x:f>
      </x:c>
    </x:row>
    <x:row r="43">
      <x:c r="A43" t="n">
        <x:v>37</x:v>
      </x:c>
      <x:c r="B43" t="str">
        <x:v>WORLD KINECT CORP</x:v>
      </x:c>
      <x:c r="C43" t="str">
        <x:v>WKC</x:v>
      </x:c>
      <x:c r="D43" s="12" t="n">
        <x:v>1.277105</x:v>
      </x:c>
      <x:c r="E43" s="12" t="n">
        <x:v>1.2463169823222957</x:v>
      </x:c>
      <x:c r="F43" s="30" t="n">
        <x:f>$B$4*E43/100</x:f>
        <x:v>1902.7259642548202</x:v>
      </x:c>
      <x:c r="G43" s="32" t="str"/>
      <x:c r="H43" s="14" t="str">
        <x:f>IFERROR(F43/G43,"")</x:f>
      </x:c>
    </x:row>
    <x:row r="44">
      <x:c r="A44" t="n">
        <x:v>38</x:v>
      </x:c>
      <x:c r="B44" t="str">
        <x:v>COMSTOCK RESOURCES INC</x:v>
      </x:c>
      <x:c r="C44" t="str">
        <x:v>CRK</x:v>
      </x:c>
      <x:c r="D44" s="12" t="n">
        <x:v>1.175098</x:v>
      </x:c>
      <x:c r="E44" s="12" t="n">
        <x:v>1.1467691327596128</x:v>
      </x:c>
      <x:c r="F44" s="30" t="n">
        <x:f>$B$4*E44/100</x:f>
        <x:v>1750.7483528323128</x:v>
      </x:c>
      <x:c r="G44" s="32" t="str"/>
      <x:c r="H44" s="14" t="str">
        <x:f>IFERROR(F44/G44,"")</x:f>
      </x:c>
    </x:row>
    <x:row r="45">
      <x:c r="A45" t="n">
        <x:v>39</x:v>
      </x:c>
      <x:c r="B45" t="str">
        <x:v>KOSMOS ENERGY LTD</x:v>
      </x:c>
      <x:c r="C45" t="str">
        <x:v>KOS</x:v>
      </x:c>
      <x:c r="D45" s="12" t="n">
        <x:v>1.171527</x:v>
      </x:c>
      <x:c r="E45" s="12" t="n">
        <x:v>1.1432842212262049</x:v>
      </x:c>
      <x:c r="F45" s="30" t="n">
        <x:f>$B$4*E45/100</x:f>
        <x:v>1745.428011577401</x:v>
      </x:c>
      <x:c r="G45" s="32" t="str"/>
      <x:c r="H45" s="14" t="str">
        <x:f>IFERROR(F45/G45,"")</x:f>
      </x:c>
    </x:row>
    <x:row r="46">
      <x:c r="A46" t="n">
        <x:v>40</x:v>
      </x:c>
      <x:c r="B46" t="str">
        <x:v>GREEN PLAINS INC</x:v>
      </x:c>
      <x:c r="C46" t="str">
        <x:v>GPRE</x:v>
      </x:c>
      <x:c r="D46" s="12" t="n">
        <x:v>1.125353</x:v>
      </x:c>
      <x:c r="E46" s="12" t="n">
        <x:v>1.0982233684836742</x:v>
      </x:c>
      <x:c r="F46" s="30" t="n">
        <x:f>$B$4*E46/100</x:f>
        <x:v>1676.6345539732872</x:v>
      </x:c>
      <x:c r="G46" s="32" t="str"/>
      <x:c r="H46" s="14" t="str">
        <x:f>IFERROR(F46/G46,"")</x:f>
      </x:c>
    </x:row>
    <x:row r="47">
      <x:c r="A47" t="n">
        <x:v>41</x:v>
      </x:c>
      <x:c r="B47" t="str">
        <x:v>BKV CORPORATION</x:v>
      </x:c>
      <x:c r="C47" t="str">
        <x:v>BKV</x:v>
      </x:c>
      <x:c r="D47" s="12" t="n">
        <x:v>1.042373</x:v>
      </x:c>
      <x:c r="E47" s="12" t="n">
        <x:v>1.0172438224063318</x:v>
      </x:c>
      <x:c r="F47" s="30" t="n">
        <x:f>$B$4*E47/100</x:f>
        <x:v>1553.0047815474763</x:v>
      </x:c>
      <x:c r="G47" s="32" t="str"/>
      <x:c r="H47" s="14" t="str">
        <x:f>IFERROR(F47/G47,"")</x:f>
      </x:c>
    </x:row>
    <x:row r="48">
      <x:c r="A48" t="n">
        <x:v>42</x:v>
      </x:c>
      <x:c r="B48" t="str">
        <x:v>CVR ENERGY INC</x:v>
      </x:c>
      <x:c r="C48" t="str">
        <x:v>CVI</x:v>
      </x:c>
      <x:c r="D48" s="12" t="n">
        <x:v>0.882407</x:v>
      </x:c>
      <x:c r="E48" s="12" t="n">
        <x:v>0.8611342289162365</x:v>
      </x:c>
      <x:c r="F48" s="30" t="n">
        <x:f>$B$4*E48/100</x:f>
        <x:v>1314.6755434676109</x:v>
      </x:c>
      <x:c r="G48" s="32" t="str"/>
      <x:c r="H48" s="14" t="str">
        <x:f>IFERROR(F48/G48,"")</x:f>
      </x:c>
    </x:row>
    <x:row r="49">
      <x:c r="A49" t="n">
        <x:v>43</x:v>
      </x:c>
      <x:c r="B49" t="str">
        <x:v>DIVERSIFIED ENERGY CO</x:v>
      </x:c>
      <x:c r="C49" t="str">
        <x:v>DEC</x:v>
      </x:c>
      <x:c r="D49" s="12" t="n">
        <x:v>0.777409</x:v>
      </x:c>
      <x:c r="E49" s="12" t="n">
        <x:v>0.7586674853752775</x:v>
      </x:c>
      <x:c r="F49" s="30" t="n">
        <x:f>$B$4*E49/100</x:f>
        <x:v>1158.2417179052434</x:v>
      </x:c>
      <x:c r="G49" s="32" t="str"/>
      <x:c r="H49" s="14" t="str">
        <x:f>IFERROR(F49/G49,"")</x:f>
      </x:c>
    </x:row>
    <x:row r="50">
      <x:c r="A50" t="n">
        <x:v>44</x:v>
      </x:c>
      <x:c r="B50" t="str">
        <x:v>NEW ERA ENERGY + DIGITAL INC</x:v>
      </x:c>
      <x:c r="C50" t="str">
        <x:v>NUAI</x:v>
      </x:c>
      <x:c r="D50" s="12" t="n">
        <x:v>0.603172</x:v>
      </x:c>
      <x:c r="E50" s="12" t="n">
        <x:v>0.588630932351924</x:v>
      </x:c>
      <x:c r="F50" s="30" t="n">
        <x:f>$B$4*E50/100</x:f>
        <x:v>898.650483172103</x:v>
      </x:c>
      <x:c r="G50" s="32" t="str"/>
      <x:c r="H50" s="14" t="str">
        <x:f>IFERROR(F50/G50,"")</x:f>
      </x:c>
    </x:row>
    <x:row r="51">
      <x:c r="A51" t="n">
        <x:v>45</x:v>
      </x:c>
      <x:c r="B51" t="str">
        <x:v>REX AMERICAN RESOURCES CORP</x:v>
      </x:c>
      <x:c r="C51" t="str">
        <x:v>REX</x:v>
      </x:c>
      <x:c r="D51" s="12" t="n">
        <x:v>0.545058</x:v>
      </x:c>
      <x:c r="E51" s="12" t="n">
        <x:v>0.5319179251123642</x:v>
      </x:c>
      <x:c r="F51" s="30" t="n">
        <x:f>$B$4*E51/100</x:f>
        <x:v>812.0679259926192</x:v>
      </x:c>
      <x:c r="G51" s="32" t="str"/>
      <x:c r="H51" s="14" t="str">
        <x:f>IFERROR(F51/G51,"")</x:f>
      </x:c>
    </x:row>
    <x:row r="52">
      <x:c r="A52" t="n">
        <x:v>46</x:v>
      </x:c>
      <x:c r="B52" t="str">
        <x:v>SABLE OFFSHORE CORP</x:v>
      </x:c>
      <x:c r="C52" t="str">
        <x:v>SOC</x:v>
      </x:c>
      <x:c r="D52" s="12" t="n">
        <x:v>0.496443</x:v>
      </x:c>
      <x:c r="E52" s="12" t="n">
        <x:v>0.48447491917659674</x:v>
      </x:c>
      <x:c r="F52" s="30" t="n">
        <x:f>$B$4*E52/100</x:f>
        <x:v>739.6376851336074</x:v>
      </x:c>
      <x:c r="G52" s="32" t="str"/>
      <x:c r="H52" s="14" t="str">
        <x:f>IFERROR(F52/G52,"")</x:f>
      </x:c>
    </x:row>
    <x:row r="53">
      <x:c r="A53" t="n">
        <x:v>47</x:v>
      </x:c>
      <x:c r="B53" t="str">
        <x:v>VAALCO ENERGY INC</x:v>
      </x:c>
      <x:c r="C53" t="str">
        <x:v>EGY</x:v>
      </x:c>
      <x:c r="D53" s="12" t="n">
        <x:v>0.495335</x:v>
      </x:c>
      <x:c r="E53" s="12" t="n">
        <x:v>0.4833936304678272</x:v>
      </x:c>
      <x:c r="F53" s="30" t="n">
        <x:f>$B$4*E53/100</x:f>
        <x:v>737.986904368992</x:v>
      </x:c>
      <x:c r="G53" s="32" t="str"/>
      <x:c r="H53" s="14" t="str">
        <x:f>IFERROR(F53/G53,"")</x:f>
      </x:c>
    </x:row>
    <x:row r="54">
      <x:c r="A54" t="n">
        <x:v>48</x:v>
      </x:c>
      <x:c r="B54" t="str">
        <x:v>VITESSE ENERGY INC</x:v>
      </x:c>
      <x:c r="C54" t="str">
        <x:v>VTS</x:v>
      </x:c>
      <x:c r="D54" s="12" t="n">
        <x:v>0.461532</x:v>
      </x:c>
      <x:c r="E54" s="12" t="n">
        <x:v>0.45040554181932874</x:v>
      </x:c>
      <x:c r="F54" s="30" t="n">
        <x:f>$B$4*E54/100</x:f>
        <x:v>687.624682179191</x:v>
      </x:c>
      <x:c r="G54" s="32" t="str"/>
      <x:c r="H54" s="14" t="str">
        <x:f>IFERROR(F54/G54,"")</x:f>
      </x:c>
    </x:row>
    <x:row r="55">
      <x:c r="A55" t="n">
        <x:v>49</x:v>
      </x:c>
      <x:c r="B55" t="str">
        <x:v>GEVO INC</x:v>
      </x:c>
      <x:c r="C55" t="str">
        <x:v>GEVO</x:v>
      </x:c>
      <x:c r="D55" s="12" t="n">
        <x:v>0.443012</x:v>
      </x:c>
      <x:c r="E55" s="12" t="n">
        <x:v>0.4323320157485602</x:v>
      </x:c>
      <x:c r="F55" s="30" t="n">
        <x:f>$B$4*E55/100</x:f>
        <x:v>660.0322094709961</x:v>
      </x:c>
      <x:c r="G55" s="32" t="str"/>
      <x:c r="H55" s="14" t="str">
        <x:f>IFERROR(F55/G55,"")</x:f>
      </x:c>
    </x:row>
    <x:row r="56">
      <x:c r="A56" t="n">
        <x:v>50</x:v>
      </x:c>
      <x:c r="B56" t="str">
        <x:v>SANDRIDGE ENERGY INC</x:v>
      </x:c>
      <x:c r="C56" t="str">
        <x:v>SD</x:v>
      </x:c>
      <x:c r="D56" s="12" t="n">
        <x:v>0.372239</x:v>
      </x:c>
      <x:c r="E56" s="12" t="n">
        <x:v>0.363265187422075</x:v>
      </x:c>
      <x:c r="F56" s="30" t="n">
        <x:f>$B$4*E56/100</x:f>
        <x:v>554.5893330683459</x:v>
      </x:c>
      <x:c r="G56" s="32" t="str"/>
      <x:c r="H56" s="14" t="str">
        <x:f>IFERROR(F56/G56,"")</x:f>
      </x:c>
    </x:row>
    <x:row r="57">
      <x:c r="A57" t="n">
        <x:v>51</x:v>
      </x:c>
      <x:c r="B57" t="str">
        <x:v>CLEAN ENERGY FUELS CORP</x:v>
      </x:c>
      <x:c r="C57" t="str">
        <x:v>CLNE</x:v>
      </x:c>
      <x:c r="D57" s="12" t="n">
        <x:v>0.191113</x:v>
      </x:c>
      <x:c r="E57" s="12" t="n">
        <x:v>0.1865057120930236</x:v>
      </x:c>
      <x:c r="F57" s="30" t="n">
        <x:f>$B$4*E57/100</x:f>
        <x:v>284.73435403246515</x:v>
      </x:c>
      <x:c r="G57" s="32" t="str"/>
      <x:c r="H57" s="14" t="str">
        <x:f>IFERROR(F57/G57,"")</x:f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64fa687f359491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0" hidden="0" customWidth="1"/>
  </x:cols>
  <x:sheetData>
    <x:row r="1">
      <x:c r="A1" s="3" t="str">
        <x:v>项目</x:v>
      </x:c>
      <x:c r="B1" s="4" t="str">
        <x:v>说明</x:v>
      </x:c>
    </x:row>
    <x:row r="2">
      <x:c r="A2" t="str">
        <x:v>基金</x:v>
      </x:c>
      <x:c r="B2" t="str">
        <x:v>State Street® SPDR® S&amp;P® Oil &amp; Gas Exploration &amp; Production ETF (XOP)</x:v>
      </x:c>
    </x:row>
    <x:row r="3">
      <x:c r="A3" t="str">
        <x:v>来源</x:v>
      </x:c>
      <x:c r="B3" t="str">
        <x:v>State Street 官方 Daily Holdings XLSX</x:v>
      </x:c>
    </x:row>
    <x:row r="4">
      <x:c r="A4" t="str">
        <x:v>数据日期</x:v>
      </x:c>
      <x:c r="B4" t="str">
        <x:v>As of 30-Jun-2026</x:v>
      </x:c>
    </x:row>
    <x:row r="5">
      <x:c r="A5" t="str">
        <x:v>网页信息</x:v>
      </x:c>
      <x:c r="B5" t="str">
        <x:v>官方页面显示 XOP 截至 2026-06-30 的 NAV 为 154.21 美元、持仓数量为 51，指数为 modified equal weighted。</x:v>
      </x:c>
    </x:row>
    <x:row r="6">
      <x:c r="A6" t="str">
        <x:v>注意1</x:v>
      </x:c>
      <x:c r="B6" t="str">
        <x:v>下载表包含 51 只股票、货币基金/现金、以及期货调整项；用于直接做空个股时，应主要看 Equity Only=Y 的股票行。</x:v>
      </x:c>
    </x:row>
    <x:row r="7">
      <x:c r="A7" t="str">
        <x:v>注意2</x:v>
      </x:c>
      <x:c r="B7" t="str">
        <x:v>官方股票权重合计约 102.470320%，本文件提供“Equity Weight Re-normalized %”列，方便把可空股票篮子重归一到 100%。</x:v>
      </x:c>
    </x:row>
    <x:row r="8">
      <x:c r="A8" t="str">
        <x:v>公式</x:v>
      </x:c>
      <x:c r="B8" t="str">
        <x:v>Basket Calculator 中黄色单元格可输入目标 XOP 股数、XOP 参考价格和各股票价格，自动计算目标做空股数。</x:v>
      </x:c>
    </x:row>
    <x:row r="9">
      <x:c r="A9" t="str">
        <x:v>源文件URL</x:v>
      </x:c>
      <x:c r="B9" t="str">
        <x:v>https://www.ssga.com/library-content/products/fund-data/etfs/us/holdings-daily-us-en-xop.xlsx</x:v>
      </x:c>
    </x:row>
    <x:row r="10">
      <x:c r="A10" t="str">
        <x:v>产品页</x:v>
      </x:c>
      <x:c r="B10" t="str">
        <x:v>https://www.ssga.com/us/en/intermediary/etfs/state-street-spdr-sp-oil-gas-exploration-production-etf-xop</x:v>
      </x:c>
    </x:row>
  </x:sheetData>
  <x:pageMargins left="0.7" right="0.7" top="0.75" bottom="0.75" header="0.3" footer="0.3"/>
  <x:tableParts count="1">
    <x:tablePart xmlns:r="http://schemas.openxmlformats.org/officeDocument/2006/relationships" r:id="Rfb409687e58c45cd"/>
  </x:tableParts>
</x:worksheet>
</file>